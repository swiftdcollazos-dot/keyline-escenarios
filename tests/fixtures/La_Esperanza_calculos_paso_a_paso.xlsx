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Guía" sheetId="1" state="visible" r:id="rId3"/>
    <sheet name="1 Datos" sheetId="2" state="visible" r:id="rId4"/>
    <sheet name="2 Medir en el plano" sheetId="3" state="visible" r:id="rId5"/>
    <sheet name="3 Volumen represas" sheetId="4" state="visible" r:id="rId6"/>
    <sheet name="4 Balance de verano" sheetId="5" state="visible" r:id="rId7"/>
    <sheet name="5 Simulación 120 días" sheetId="6" state="visible" r:id="rId8"/>
    <sheet name="6 Muros y vertederos" sheetId="7" state="visible" r:id="rId9"/>
    <sheet name="7 Canales 1 en 300" sheetId="8" state="visible" r:id="rId10"/>
    <sheet name="8 Casa y bebederos" sheetId="9" state="visible" r:id="rId11"/>
    <sheet name="9 Árboles cacao ronda" sheetId="10" state="visible" r:id="rId12"/>
    <sheet name="10 Potreros" sheetId="11" state="visible" r:id="rId13"/>
    <sheet name="11 Verificación" sheetId="12" state="visible" r:id="rId14"/>
  </sheets>
  <definedNames>
    <definedName function="false" hidden="false" name="Ancho_camino" vbProcedure="false">'1 Datos'!$D$58</definedName>
    <definedName function="false" hidden="false" name="Ancho_franja" vbProcedure="false">'1 Datos'!$D$57</definedName>
    <definedName function="false" hidden="false" name="Ancho_ha" vbProcedure="false">'6 Muros y vertederos'!$E$28</definedName>
    <definedName function="false" hidden="false" name="Area_cacao" vbProcedure="false">'9 Árboles cacao ronda'!$E$43</definedName>
    <definedName function="false" hidden="false" name="Area_constr" vbProcedure="false">'1 Datos'!$D$59</definedName>
    <definedName function="false" hidden="false" name="Area_franjas" vbProcedure="false">'9 Árboles cacao ronda'!$E$54</definedName>
    <definedName function="false" hidden="false" name="Area_pasto" vbProcedure="false">'10 Potreros'!$E$14</definedName>
    <definedName function="false" hidden="false" name="Area_plano" vbProcedure="false">'2 Medir en el plano'!$D$17</definedName>
    <definedName function="false" hidden="false" name="Area_predio" vbProcedure="false">'1 Datos'!$D$7</definedName>
    <definedName function="false" hidden="false" name="Area_ronda" vbProcedure="false">'9 Árboles cacao ronda'!$E$52</definedName>
    <definedName function="false" hidden="false" name="Banda_alta" vbProcedure="false">'10 Potreros'!$H$29</definedName>
    <definedName function="false" hidden="false" name="Banda_baja" vbProcedure="false">'10 Potreros'!$H$27</definedName>
    <definedName function="false" hidden="false" name="Banda_media" vbProcedure="false">'10 Potreros'!$H$28</definedName>
    <definedName function="false" hidden="false" name="Barra_m" vbProcedure="false">'1 Datos'!$D$48</definedName>
    <definedName function="false" hidden="false" name="Barra_px" vbProcedure="false">'1 Datos'!$D$49</definedName>
    <definedName function="false" hidden="false" name="Bebederos" vbProcedure="false">'8 Casa y bebederos'!$B$37</definedName>
    <definedName function="false" hidden="false" name="Borde_libre" vbProcedure="false">'1 Datos'!$D$30</definedName>
    <definedName function="false" hidden="false" name="b_canal" vbProcedure="false">'1 Datos'!$D$37</definedName>
    <definedName function="false" hidden="false" name="Cacao_meta" vbProcedure="false">'1 Datos'!$D$12</definedName>
    <definedName function="false" hidden="false" name="Carga_casa" vbProcedure="false">'8 Casa y bebederos'!$E$9</definedName>
    <definedName function="false" hidden="false" name="Coef_vert" vbProcedure="false">'1 Datos'!$D$55</definedName>
    <definedName function="false" hidden="false" name="Consumo_res" vbProcedure="false">'1 Datos'!$D$15</definedName>
    <definedName function="false" hidden="false" name="Cons_dia" vbProcedure="false">'4 Balance de verano'!$E$7</definedName>
    <definedName function="false" hidden="false" name="Cons_ver" vbProcedure="false">'4 Balance de verano'!$E$8</definedName>
    <definedName function="false" hidden="false" name="Corona" vbProcedure="false">'1 Datos'!$D$52</definedName>
    <definedName function="false" hidden="false" name="Cota_cano" vbProcedure="false">'1 Datos'!$D$45</definedName>
    <definedName function="false" hidden="false" name="Cota_casa" vbProcedure="false">'1 Datos'!$D$44</definedName>
    <definedName function="false" hidden="false" name="Cota_max" vbProcedure="false">'1 Datos'!$D$46</definedName>
    <definedName function="false" hidden="false" name="C_anual" vbProcedure="false">'1 Datos'!$D$18</definedName>
    <definedName function="false" hidden="false" name="C_HW" vbProcedure="false">'1 Datos'!$D$64</definedName>
    <definedName function="false" hidden="false" name="C_tormenta" vbProcedure="false">'1 Datos'!$D$19</definedName>
    <definedName function="false" hidden="false" name="Dem_occ" vbProcedure="false">'4 Balance de verano'!$E$19</definedName>
    <definedName function="false" hidden="false" name="Dem_ori" vbProcedure="false">'4 Balance de verano'!$F$19</definedName>
    <definedName function="false" hidden="false" name="Descanso" vbProcedure="false">'1 Datos'!$D$60</definedName>
    <definedName function="false" hidden="false" name="Desn_franja" vbProcedure="false">'1 Datos'!$D$56</definedName>
    <definedName function="false" hidden="false" name="Dias_verano" vbProcedure="false">'1 Datos'!$D$10</definedName>
    <definedName function="false" hidden="false" name="Dist_cacao" vbProcedure="false">'1 Datos'!$D$66</definedName>
    <definedName function="false" hidden="false" name="D_franjas" vbProcedure="false">'2 Medir en el plano'!$E$53</definedName>
    <definedName function="false" hidden="false" name="D_tubo" vbProcedure="false">'1 Datos'!$D$63</definedName>
    <definedName function="false" hidden="false" name="Escala" vbProcedure="false">'2 Medir en el plano'!$D$9</definedName>
    <definedName function="false" hidden="false" name="Esc_ha" vbProcedure="false">'4 Balance de verano'!$E$36</definedName>
    <definedName function="false" hidden="false" name="Espejo_occ" vbProcedure="false">'1 Datos'!$D$24</definedName>
    <definedName function="false" hidden="false" name="Espejo_ori" vbProcedure="false">'1 Datos'!$D$25</definedName>
    <definedName function="false" hidden="false" name="Estado_B1" vbProcedure="false">'8 Casa y bebederos'!$H$37</definedName>
    <definedName function="false" hidden="false" name="Evap_dia" vbProcedure="false">'1 Datos'!$D$16</definedName>
    <definedName function="false" hidden="false" name="Evap_occ" vbProcedure="false">'4 Balance de verano'!$E$12</definedName>
    <definedName function="false" hidden="false" name="Evap_ori" vbProcedure="false">'4 Balance de verano'!$F$12</definedName>
    <definedName function="false" hidden="false" name="Fondo_occ" vbProcedure="false">'3 Volumen represas'!$E$10</definedName>
    <definedName function="false" hidden="false" name="Fondo_ori" vbProcedure="false">'3 Volumen represas'!$F$10</definedName>
    <definedName function="false" hidden="false" name="Franja2_occ" vbProcedure="false">'9 Árboles cacao ronda'!$E$9</definedName>
    <definedName function="false" hidden="false" name="Franja2_ori" vbProcedure="false">'9 Árboles cacao ronda'!$F$9</definedName>
    <definedName function="false" hidden="false" name="F_trazado" vbProcedure="false">'1 Datos'!$D$65</definedName>
    <definedName function="false" hidden="false" name="Hmax_occ" vbProcedure="false">'1 Datos'!$D$26</definedName>
    <definedName function="false" hidden="false" name="Hmax_ori" vbProcedure="false">'1 Datos'!$D$27</definedName>
    <definedName function="false" hidden="false" name="Hmuro_max" vbProcedure="false">'1 Datos'!$D$31</definedName>
    <definedName function="false" hidden="false" name="Infil_dia" vbProcedure="false">'1 Datos'!$D$17</definedName>
    <definedName function="false" hidden="false" name="Int_curvas" vbProcedure="false">'1 Datos'!$D$8</definedName>
    <definedName function="false" hidden="false" name="Int_franjas" vbProcedure="false">'1 Datos'!$D$42</definedName>
    <definedName function="false" hidden="false" name="I_diseno" vbProcedure="false">'1 Datos'!$D$20</definedName>
    <definedName function="false" hidden="false" name="k_bolsillo" vbProcedure="false">'1 Datos'!$D$51</definedName>
    <definedName function="false" hidden="false" name="k_occ" vbProcedure="false">'3 Volumen represas'!$E$15</definedName>
    <definedName function="false" hidden="false" name="k_ori" vbProcedure="false">'3 Volumen represas'!$F$15</definedName>
    <definedName function="false" hidden="false" name="Lam_vert" vbProcedure="false">'1 Datos'!$D$54</definedName>
    <definedName function="false" hidden="false" name="Lcan_occ" vbProcedure="false">'1 Datos'!$D$34</definedName>
    <definedName function="false" hidden="false" name="Lcan_ori" vbProcedure="false">'1 Datos'!$D$35</definedName>
    <definedName function="false" hidden="false" name="Lc_1" vbProcedure="false">'2 Medir en el plano'!$E$59</definedName>
    <definedName function="false" hidden="false" name="Lc_2" vbProcedure="false">'2 Medir en el plano'!$E$60</definedName>
    <definedName function="false" hidden="false" name="Lc_3" vbProcedure="false">'2 Medir en el plano'!$E$61</definedName>
    <definedName function="false" hidden="false" name="Llegada_ori" vbProcedure="false">'7 Canales 1 en 300'!$F$13</definedName>
    <definedName function="false" hidden="false" name="Lluvia_anual" vbProcedure="false">'1 Datos'!$D$9</definedName>
    <definedName function="false" hidden="false" name="Lmed_occ" vbProcedure="false">'2 Medir en el plano'!$G$30</definedName>
    <definedName function="false" hidden="false" name="Lmed_ori" vbProcedure="false">'2 Medir en el plano'!$G$44</definedName>
    <definedName function="false" hidden="false" name="Lmuro_occ" vbProcedure="false">'2 Medir en el plano'!$E$49</definedName>
    <definedName function="false" hidden="false" name="Lmuro_ori" vbProcedure="false">'2 Medir en el plano'!$E$50</definedName>
    <definedName function="false" hidden="false" name="Lt_B1" vbProcedure="false">'2 Medir en el plano'!$E$54</definedName>
    <definedName function="false" hidden="false" name="Lt_B2" vbProcedure="false">'2 Medir en el plano'!$E$55</definedName>
    <definedName function="false" hidden="false" name="Lt_B3" vbProcedure="false">'2 Medir en el plano'!$E$56</definedName>
    <definedName function="false" hidden="false" name="Lt_B4" vbProcedure="false">'2 Medir en el plano'!$E$57</definedName>
    <definedName function="false" hidden="false" name="L_cano" vbProcedure="false">'2 Medir en el plano'!$E$51</definedName>
    <definedName function="false" hidden="false" name="L_casa" vbProcedure="false">'2 Medir en el plano'!$E$58</definedName>
    <definedName function="false" hidden="false" name="L_franjas" vbProcedure="false">'2 Medir en el plano'!$E$62</definedName>
    <definedName function="false" hidden="false" name="Margen_grav" vbProcedure="false">'1 Datos'!$D$61</definedName>
    <definedName function="false" hidden="false" name="Margen_ori" vbProcedure="false">'7 Canales 1 en 300'!$F$15</definedName>
    <definedName function="false" hidden="false" name="m_occ" vbProcedure="false">'3 Volumen represas'!$E$18</definedName>
    <definedName function="false" hidden="false" name="m_ori" vbProcedure="false">'3 Volumen represas'!$F$18</definedName>
    <definedName function="false" hidden="false" name="Nivel_fin_occ" vbProcedure="false">'5 Simulación 120 días'!$G$13</definedName>
    <definedName function="false" hidden="false" name="Nivel_fin_ori" vbProcedure="false">'5 Simulación 120 días'!$H$13</definedName>
    <definedName function="false" hidden="false" name="n_Manning" vbProcedure="false">'1 Datos'!$D$36</definedName>
    <definedName function="false" hidden="false" name="N_potreros" vbProcedure="false">'1 Datos'!$D$13</definedName>
    <definedName function="false" hidden="false" name="N_reses" vbProcedure="false">'1 Datos'!$D$11</definedName>
    <definedName function="false" hidden="false" name="Pend_canal" vbProcedure="false">'1 Datos'!$D$33</definedName>
    <definedName function="false" hidden="false" name="Perd_occ" vbProcedure="false">'4 Balance de verano'!$E$16</definedName>
    <definedName function="false" hidden="false" name="Perd_ori" vbProcedure="false">'4 Balance de verano'!$F$16</definedName>
    <definedName function="false" hidden="false" name="PK_occ" vbProcedure="false">'1 Datos'!$D$22</definedName>
    <definedName function="false" hidden="false" name="PK_ori" vbProcedure="false">'1 Datos'!$D$23</definedName>
    <definedName function="false" hidden="false" name="Q_casa" vbProcedure="false">'1 Datos'!$D$62</definedName>
    <definedName function="false" hidden="false" name="Q_ha" vbProcedure="false">'6 Muros y vertederos'!$E$27</definedName>
    <definedName function="false" hidden="false" name="q_vert" vbProcedure="false">'6 Muros y vertederos'!$E$26</definedName>
    <definedName function="false" hidden="false" name="Ronda" vbProcedure="false">'1 Datos'!$D$43</definedName>
    <definedName function="false" hidden="false" name="Ronda_dib" vbProcedure="false">'2 Medir en el plano'!$E$52</definedName>
    <definedName function="false" hidden="false" name="Suelo_canal" vbProcedure="false">'1 Datos'!$D$40</definedName>
    <definedName function="false" hidden="false" name="S_canal" vbProcedure="false">'7 Canales 1 en 300'!$E$9</definedName>
    <definedName function="false" hidden="false" name="Tabla_bebederos" vbProcedure="false">'8 Casa y bebederos'!$B$37:$H$40</definedName>
    <definedName function="false" hidden="false" name="Tabla_suelos" vbProcedure="false">'1 Datos'!$C$71:$D$77</definedName>
    <definedName function="false" hidden="false" name="Talud_muro" vbProcedure="false">'1 Datos'!$D$53</definedName>
    <definedName function="false" hidden="false" name="Tolerancia" vbProcedure="false">'1 Datos'!$D$67</definedName>
    <definedName function="false" hidden="false" name="Vcap_occ" vbProcedure="false">'3 Volumen represas'!$G$37</definedName>
    <definedName function="false" hidden="false" name="Vcap_ori" vbProcedure="false">'3 Volumen represas'!$G$47</definedName>
    <definedName function="false" hidden="false" name="Vfin_occ" vbProcedure="false">'5 Simulación 120 días'!$G$12</definedName>
    <definedName function="false" hidden="false" name="Vfin_ori" vbProcedure="false">'5 Simulación 120 días'!$H$12</definedName>
    <definedName function="false" hidden="false" name="Vmod_occ" vbProcedure="false">'1 Datos'!$D$28</definedName>
    <definedName function="false" hidden="false" name="Vmod_ori" vbProcedure="false">'1 Datos'!$D$29</definedName>
    <definedName function="false" hidden="false" name="Vpri_occ" vbProcedure="false">'3 Volumen represas'!$E$24</definedName>
    <definedName function="false" hidden="false" name="Vpri_ori" vbProcedure="false">'3 Volumen represas'!$F$24</definedName>
    <definedName function="false" hidden="false" name="y_canal" vbProcedure="false">'1 Datos'!$D$38</definedName>
    <definedName function="false" hidden="false" name="z_canal" vbProcedure="false">'1 Datos'!$D$39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<sst xmlns="http://schemas.openxmlformats.org/spreadsheetml/2006/main" count="1478" uniqueCount="1067">
  <si>
    <t xml:space="preserve">La Esperanza · Cálculos del diseño de referencia, paso a paso</t>
  </si>
  <si>
    <t xml:space="preserve">Curso en Diseño Keyline · Módulo 2 · Clases 7 y 8 · Diapositiva 47 «Diseño de referencia de La Esperanza»</t>
  </si>
  <si>
    <t xml:space="preserve">Ing. Agr. Jhon Anderson Prieto Guevara · Keyline Colombia</t>
  </si>
  <si>
    <t xml:space="preserve">Para qué sirve</t>
  </si>
  <si>
    <t xml:space="preserve">Reconstruye, cálculo por cálculo, las cifras del plano de referencia: volumen de las represas, evaporación, canales a 1:300, muros y vertederos, agua por gravedad a la casa y a los bebederos, franjas, cacao, ronda y potreros.</t>
  </si>
  <si>
    <t xml:space="preserve">Cada hoja sigue el orden de la Escala de Permanencia y responde una de las preguntas de «Control con números» (diap. 46). Cada fila es un paso: qué se calcula, cómo, el resultado y por qué.</t>
  </si>
  <si>
    <t xml:space="preserve">Cómo se usa</t>
  </si>
  <si>
    <t xml:space="preserve">1. Revise los datos de la hoja 1. Ahí está todo lo que el libro usa, con su fuente.</t>
  </si>
  <si>
    <t xml:space="preserve">2. Recorra las hojas en orden. Haga clic en cualquier celda de resultado para ver la fórmula de Excel que la calcula.</t>
  </si>
  <si>
    <t xml:space="preserve">3. Cambie solo las celdas de color (azul, verde o naranja). Todo lo demás se recalcula solo. Pruebe, por ejemplo, otra profundidad de represa o otra tasa de evaporación.</t>
  </si>
  <si>
    <t xml:space="preserve">4. Termine en la hoja 11: compara cada cifra de la diapositiva con el cálculo y arma las respuestas de la diap. 46.</t>
  </si>
  <si>
    <t xml:space="preserve">Leyenda de colores</t>
  </si>
  <si>
    <t xml:space="preserve">387,7</t>
  </si>
  <si>
    <t xml:space="preserve">Dato del caso: viene de las diapositivas o del ejercicio 6. Texto azul.</t>
  </si>
  <si>
    <t xml:space="preserve">553</t>
  </si>
  <si>
    <t xml:space="preserve">Medido en el plano (imagen de la diap. 47) o leído sobre sus curvas. Texto azul.</t>
  </si>
  <si>
    <t xml:space="preserve">3</t>
  </si>
  <si>
    <t xml:space="preserve">Supuesto didáctico: no viene del caso. Cámbielo y discuta el efecto. Texto azul.</t>
  </si>
  <si>
    <t xml:space="preserve">2.050</t>
  </si>
  <si>
    <t xml:space="preserve">Estimado con una fórmula. Reemplácelo por su medición en QGIS cuando la tenga.</t>
  </si>
  <si>
    <t xml:space="preserve">7.600</t>
  </si>
  <si>
    <t xml:space="preserve">Valor traído de otra hoja (texto verde).</t>
  </si>
  <si>
    <t xml:space="preserve">3.420</t>
  </si>
  <si>
    <t xml:space="preserve">Cálculo (texto negro, sin relleno).</t>
  </si>
  <si>
    <t xml:space="preserve">Resultado clave del paso.</t>
  </si>
  <si>
    <t xml:space="preserve">Sí alcanza</t>
  </si>
  <si>
    <t xml:space="preserve">Verificación que cumple. En rojo, lo que no cumple; en amarillo, lo marginal.</t>
  </si>
  <si>
    <t xml:space="preserve">Ruta de las hojas</t>
  </si>
  <si>
    <t xml:space="preserve">Hoja</t>
  </si>
  <si>
    <t xml:space="preserve">Capa de la Escala</t>
  </si>
  <si>
    <t xml:space="preserve">Pregunta que responde</t>
  </si>
  <si>
    <t xml:space="preserve">Resultado principal</t>
  </si>
  <si>
    <t xml:space="preserve">1 Datos</t>
  </si>
  <si>
    <t xml:space="preserve">—</t>
  </si>
  <si>
    <t xml:space="preserve">Datos, mediciones y supuestos de todo el libro.</t>
  </si>
  <si>
    <t xml:space="preserve">2 Medir en el plano</t>
  </si>
  <si>
    <t xml:space="preserve">2 · Geografía</t>
  </si>
  <si>
    <t xml:space="preserve">¿Cuánto mide en el terreno cada cosa dibujada?</t>
  </si>
  <si>
    <t xml:space="preserve">3 Volumen represas</t>
  </si>
  <si>
    <t xml:space="preserve">3 · Agua</t>
  </si>
  <si>
    <t xml:space="preserve">¿Cuánto guarda cada represa? Tres métodos.</t>
  </si>
  <si>
    <t xml:space="preserve">4 Balance de verano</t>
  </si>
  <si>
    <t xml:space="preserve">¿Alcanza para 40 reses en 120 días?</t>
  </si>
  <si>
    <t xml:space="preserve">5 Simulación 120 días</t>
  </si>
  <si>
    <t xml:space="preserve">¿Cómo baja el nivel día a día?</t>
  </si>
  <si>
    <t xml:space="preserve">6 Muros y vertederos</t>
  </si>
  <si>
    <t xml:space="preserve">¿Qué tan alto es el muro y qué tan ancho el vertedero?</t>
  </si>
  <si>
    <t xml:space="preserve">7 Canales 1 en 300</t>
  </si>
  <si>
    <t xml:space="preserve">¿Dónde empieza y dónde llega cada canal?</t>
  </si>
  <si>
    <t xml:space="preserve">8 Casa y bebederos</t>
  </si>
  <si>
    <t xml:space="preserve">6 · Construcciones y 7 · Subdivisiones</t>
  </si>
  <si>
    <t xml:space="preserve">¿Llega el agua por gravedad?</t>
  </si>
  <si>
    <t xml:space="preserve">9 Árboles cacao ronda</t>
  </si>
  <si>
    <t xml:space="preserve">5 · Árboles</t>
  </si>
  <si>
    <t xml:space="preserve">¿Dónde van las franjas y cuánto cacao cabe?</t>
  </si>
  <si>
    <t xml:space="preserve">10 Potreros</t>
  </si>
  <si>
    <t xml:space="preserve">7 · Subdivisiones</t>
  </si>
  <si>
    <t xml:space="preserve">¿Cuánto mide cada potrero y cómo se rota?</t>
  </si>
  <si>
    <t xml:space="preserve">11 Verificación</t>
  </si>
  <si>
    <t xml:space="preserve">¿Cuadran las cifras con la diapositiva?</t>
  </si>
  <si>
    <t xml:space="preserve">La capa 4 (Caminos) no tiene cálculos propios: sus longitudes están en la hoja 2 y su pregunta de control en la hoja 11.</t>
  </si>
  <si>
    <t xml:space="preserve">Para revisar antes de la clase</t>
  </si>
  <si>
    <t xml:space="preserve">Sobre los datos</t>
  </si>
  <si>
    <t xml:space="preserve">Las cifras de La Esperanza son didácticas: salen del modelo de terreno del caso, no de una finca real.</t>
  </si>
  <si>
    <t xml:space="preserve">Las medidas en el plano se tomaron sobre la imagen de la diapositiva 47 con la escala gráfica (100 m = 80 px): tienen un error de lectura de 3 a 4 m.</t>
  </si>
  <si>
    <t xml:space="preserve">Las áreas por curva de nivel (hoja 3) y las cotas de los bebederos (hoja 8) son estimaciones para practicar; en el Módulo 3 se miden en QGIS.</t>
  </si>
  <si>
    <t xml:space="preserve">Hoja 1 · Datos de partida del caso La Esperanza</t>
  </si>
  <si>
    <t xml:space="preserve">Todo lo que el resto del libro usa sale de aquí. Cambie un valor de color y todo el libro se recalcula. La columna «Nombre» es el nombre con que aparece en las fórmulas.</t>
  </si>
  <si>
    <t xml:space="preserve">Nombre</t>
  </si>
  <si>
    <t xml:space="preserve">Parámetro</t>
  </si>
  <si>
    <t xml:space="preserve">Valor</t>
  </si>
  <si>
    <t xml:space="preserve">Unidad</t>
  </si>
  <si>
    <t xml:space="preserve">Tipo</t>
  </si>
  <si>
    <t xml:space="preserve">Fuente</t>
  </si>
  <si>
    <t xml:space="preserve">Caso didáctico La Esperanza (diapositiva 44)</t>
  </si>
  <si>
    <t xml:space="preserve">Area_predio</t>
  </si>
  <si>
    <t xml:space="preserve">Área del predio</t>
  </si>
  <si>
    <t xml:space="preserve">ha</t>
  </si>
  <si>
    <t xml:space="preserve">Dato del caso</t>
  </si>
  <si>
    <t xml:space="preserve">Diap. 44. Piedemonte del Meta. Caso didáctico, no es una finca real.</t>
  </si>
  <si>
    <t xml:space="preserve">Int_curvas</t>
  </si>
  <si>
    <t xml:space="preserve">Intervalo entre curvas de nivel</t>
  </si>
  <si>
    <t xml:space="preserve">m</t>
  </si>
  <si>
    <t xml:space="preserve">Diap. 44</t>
  </si>
  <si>
    <t xml:space="preserve">Lluvia_anual</t>
  </si>
  <si>
    <t xml:space="preserve">Lluvia anual</t>
  </si>
  <si>
    <t xml:space="preserve">mm/año</t>
  </si>
  <si>
    <t xml:space="preserve">Dias_verano</t>
  </si>
  <si>
    <t xml:space="preserve">Duración del verano (diciembre a marzo)</t>
  </si>
  <si>
    <t xml:space="preserve">días</t>
  </si>
  <si>
    <t xml:space="preserve">Diap. 44 y notas de la diap. 47</t>
  </si>
  <si>
    <t xml:space="preserve">N_reses</t>
  </si>
  <si>
    <t xml:space="preserve">Reses que deben tener agua en verano</t>
  </si>
  <si>
    <t xml:space="preserve">reses</t>
  </si>
  <si>
    <t xml:space="preserve">Cacao_meta</t>
  </si>
  <si>
    <t xml:space="preserve">Cacao con sombrío que quiere el dueño</t>
  </si>
  <si>
    <t xml:space="preserve">Diap. 44 («unas 2 ha»)</t>
  </si>
  <si>
    <t xml:space="preserve">N_potreros</t>
  </si>
  <si>
    <t xml:space="preserve">Potreros para rotar el ganado</t>
  </si>
  <si>
    <t xml:space="preserve">potreros</t>
  </si>
  <si>
    <t xml:space="preserve">Agua: parámetros del ejercicio 6 (Clases 5 y 6)</t>
  </si>
  <si>
    <t xml:space="preserve">Consumo_res</t>
  </si>
  <si>
    <t xml:space="preserve">Consumo de agua por res</t>
  </si>
  <si>
    <t xml:space="preserve">L/res/día</t>
  </si>
  <si>
    <t xml:space="preserve">Ejercicio 6, Clase 6</t>
  </si>
  <si>
    <t xml:space="preserve">Evap_dia</t>
  </si>
  <si>
    <t xml:space="preserve">Evaporación del espejo de agua</t>
  </si>
  <si>
    <t xml:space="preserve">mm/día</t>
  </si>
  <si>
    <t xml:space="preserve">Ejercicio 6 y notas de la diap. 47</t>
  </si>
  <si>
    <t xml:space="preserve">Infil_dia</t>
  </si>
  <si>
    <t xml:space="preserve">Infiltración por el fondo del vaso</t>
  </si>
  <si>
    <t xml:space="preserve">Ejercicio 6</t>
  </si>
  <si>
    <t xml:space="preserve">C_anual</t>
  </si>
  <si>
    <t xml:space="preserve">Coeficiente de escorrentía anual</t>
  </si>
  <si>
    <t xml:space="preserve">–</t>
  </si>
  <si>
    <t xml:space="preserve">C_tormenta</t>
  </si>
  <si>
    <t xml:space="preserve">Coeficiente de escorrentía del aguacero de diseño</t>
  </si>
  <si>
    <t xml:space="preserve">I_diseno</t>
  </si>
  <si>
    <t xml:space="preserve">Intensidad del aguacero de diseño</t>
  </si>
  <si>
    <t xml:space="preserve">mm/h</t>
  </si>
  <si>
    <t xml:space="preserve">Represas de punto clave (diapositivas 32, 38 y 47)</t>
  </si>
  <si>
    <t xml:space="preserve">PK_occ</t>
  </si>
  <si>
    <t xml:space="preserve">Cota del punto clave occidental = nivel del agua</t>
  </si>
  <si>
    <t xml:space="preserve">Diap. 32, solución del ejercicio 7. El agua llega hasta la línea clave (diap. 38).</t>
  </si>
  <si>
    <t xml:space="preserve">PK_ori</t>
  </si>
  <si>
    <t xml:space="preserve">Cota del punto clave oriental = nivel del agua</t>
  </si>
  <si>
    <t xml:space="preserve">Diap. 32, solución del ejercicio 7</t>
  </si>
  <si>
    <t xml:space="preserve">Espejo_occ</t>
  </si>
  <si>
    <t xml:space="preserve">Área del espejo, represa occidental</t>
  </si>
  <si>
    <t xml:space="preserve">m²</t>
  </si>
  <si>
    <t xml:space="preserve">Notas de la diap. 47 (modelo de terreno)</t>
  </si>
  <si>
    <t xml:space="preserve">Espejo_ori</t>
  </si>
  <si>
    <t xml:space="preserve">Área del espejo, represa oriental</t>
  </si>
  <si>
    <t xml:space="preserve">Hmax_occ</t>
  </si>
  <si>
    <t xml:space="preserve">Profundidad máxima, represa occidental</t>
  </si>
  <si>
    <t xml:space="preserve">Notas de la diap. 47</t>
  </si>
  <si>
    <t xml:space="preserve">Hmax_ori</t>
  </si>
  <si>
    <t xml:space="preserve">Profundidad máxima, represa oriental</t>
  </si>
  <si>
    <t xml:space="preserve">Vmod_occ</t>
  </si>
  <si>
    <t xml:space="preserve">Volumen según el modelo de terreno, occidental</t>
  </si>
  <si>
    <t xml:space="preserve">m³</t>
  </si>
  <si>
    <t xml:space="preserve">Diap. 47 («≈ 7.600 m³»)</t>
  </si>
  <si>
    <t xml:space="preserve">Vmod_ori</t>
  </si>
  <si>
    <t xml:space="preserve">Volumen según el modelo de terreno, oriental</t>
  </si>
  <si>
    <t xml:space="preserve">Diap. 47 («≈ 8.000 m³»)</t>
  </si>
  <si>
    <t xml:space="preserve">Borde_libre</t>
  </si>
  <si>
    <t xml:space="preserve">Borde libre entre el vertedero y la corona del muro</t>
  </si>
  <si>
    <t xml:space="preserve">Diap. 38, «Lo de la Clase 6»</t>
  </si>
  <si>
    <t xml:space="preserve">Hmuro_max</t>
  </si>
  <si>
    <t xml:space="preserve">Altura máxima de muro recomendada por Yeomans</t>
  </si>
  <si>
    <t xml:space="preserve">Clase 6 (reglas de seguridad de muros de Yeomans)</t>
  </si>
  <si>
    <t xml:space="preserve">Canales de desviación (diapositivas 38 y 47; Manning de la Clase 6)</t>
  </si>
  <si>
    <t xml:space="preserve">Pend_canal</t>
  </si>
  <si>
    <t xml:space="preserve">Pendiente del canal: 1 m de caída por cada …</t>
  </si>
  <si>
    <t xml:space="preserve">Diap. 38 y 47 (1:300 en terreno ondulado)</t>
  </si>
  <si>
    <t xml:space="preserve">Lcan_occ</t>
  </si>
  <si>
    <t xml:space="preserve">Longitud del canal occidental (del lomo occidental a la represa)</t>
  </si>
  <si>
    <t xml:space="preserve">Diap. 47 («≈ 220 m»)</t>
  </si>
  <si>
    <t xml:space="preserve">Lcan_ori</t>
  </si>
  <si>
    <t xml:space="preserve">Longitud del canal de vertedero a vertedero</t>
  </si>
  <si>
    <t xml:space="preserve">Diap. 47 («≈ 180 m»)</t>
  </si>
  <si>
    <t xml:space="preserve">n_Manning</t>
  </si>
  <si>
    <t xml:space="preserve">Rugosidad de Manning, tierra con pasto</t>
  </si>
  <si>
    <t xml:space="preserve">Clase 6, diapositiva de velocidad segura</t>
  </si>
  <si>
    <t xml:space="preserve">b_canal</t>
  </si>
  <si>
    <t xml:space="preserve">Ancho de la base del canal</t>
  </si>
  <si>
    <t xml:space="preserve">Clase 6, ejemplo de Manning</t>
  </si>
  <si>
    <t xml:space="preserve">y_canal</t>
  </si>
  <si>
    <t xml:space="preserve">Profundidad del agua en el canal</t>
  </si>
  <si>
    <t xml:space="preserve">z_canal</t>
  </si>
  <si>
    <t xml:space="preserve">Talud del canal (m horizontales por m vertical)</t>
  </si>
  <si>
    <t xml:space="preserve">m/m</t>
  </si>
  <si>
    <t xml:space="preserve">Suelo_canal</t>
  </si>
  <si>
    <t xml:space="preserve">Suelo del canal (elija de la lista)</t>
  </si>
  <si>
    <t xml:space="preserve">Franco firme</t>
  </si>
  <si>
    <t xml:space="preserve">Supuesto didáctico</t>
  </si>
  <si>
    <t xml:space="preserve">Elija de la tabla de velocidades de abajo. El suelo real de La Esperanza no está definido en el caso.</t>
  </si>
  <si>
    <t xml:space="preserve">Árboles, construcciones y potreros (diapositivas 40, 41 y 47)</t>
  </si>
  <si>
    <t xml:space="preserve">Int_franjas</t>
  </si>
  <si>
    <t xml:space="preserve">Intervalo vertical entre franjas de árboles</t>
  </si>
  <si>
    <t xml:space="preserve">Diap. 47 («línea clave y 12 m más arriba»)</t>
  </si>
  <si>
    <t xml:space="preserve">Ronda</t>
  </si>
  <si>
    <t xml:space="preserve">Ancho de la ronda del caño</t>
  </si>
  <si>
    <t xml:space="preserve">Diap. 41 y 47 (hasta 30 m; la delimita la CAR)</t>
  </si>
  <si>
    <t xml:space="preserve">Cota_casa</t>
  </si>
  <si>
    <t xml:space="preserve">Cota de la casa nueva</t>
  </si>
  <si>
    <t xml:space="preserve">Diap. 47</t>
  </si>
  <si>
    <t xml:space="preserve">Cota_cano</t>
  </si>
  <si>
    <t xml:space="preserve">Cota del caño en el lindero sur</t>
  </si>
  <si>
    <t xml:space="preserve">Medido en el plano</t>
  </si>
  <si>
    <t xml:space="preserve">Lectura del plano: curva 370 junto al caño</t>
  </si>
  <si>
    <t xml:space="preserve">Cota_max</t>
  </si>
  <si>
    <t xml:space="preserve">Cota más alta del predio</t>
  </si>
  <si>
    <t xml:space="preserve">Lectura aproximada del plano (rótulo «41…» tapado por la flecha del norte)</t>
  </si>
  <si>
    <t xml:space="preserve">Escala del plano (diapositiva 47)</t>
  </si>
  <si>
    <t xml:space="preserve">Barra_m</t>
  </si>
  <si>
    <t xml:space="preserve">Distancia que representa la barra de escala</t>
  </si>
  <si>
    <t xml:space="preserve">Escala gráfica del plano: 0 – 50 – 100 m</t>
  </si>
  <si>
    <t xml:space="preserve">Barra_px</t>
  </si>
  <si>
    <t xml:space="preserve">Longitud de esa barra en la imagen de la diapositiva</t>
  </si>
  <si>
    <t xml:space="preserve">px</t>
  </si>
  <si>
    <t xml:space="preserve">Medida sobre la imagen de la diap. 47. En un plano impreso en A3 mida la barra en mm.</t>
  </si>
  <si>
    <t xml:space="preserve">Supuestos didácticos (no vienen del caso: cámbielos y mire qué pasa)</t>
  </si>
  <si>
    <t xml:space="preserve">k_bolsillo</t>
  </si>
  <si>
    <t xml:space="preserve">Factor de forma de bolsillo para represas en valle</t>
  </si>
  <si>
    <t xml:space="preserve">Redondeo de los factores que salen en la hoja 3 (0,40 y 0,39)</t>
  </si>
  <si>
    <t xml:space="preserve">Corona</t>
  </si>
  <si>
    <t xml:space="preserve">Ancho de la corona del muro</t>
  </si>
  <si>
    <t xml:space="preserve">Valor para practicar; ajústelo a la maquinaria y al uso como camino</t>
  </si>
  <si>
    <t xml:space="preserve">Talud_muro</t>
  </si>
  <si>
    <t xml:space="preserve">Talud del muro (m horizontales por m vertical)</t>
  </si>
  <si>
    <t xml:space="preserve">Igual aguas arriba y aguas abajo. Ajústelo a lo visto en la Clase 6.</t>
  </si>
  <si>
    <t xml:space="preserve">Lam_vert</t>
  </si>
  <si>
    <t xml:space="preserve">Lámina de agua sobre el vertedero en la creciente</t>
  </si>
  <si>
    <t xml:space="preserve">Con 1,7 da 0,28 m³/s por metro: el divisor del ejercicio 6</t>
  </si>
  <si>
    <t xml:space="preserve">Coef_vert</t>
  </si>
  <si>
    <t xml:space="preserve">Coeficiente de vertedero de cresta ancha (sistema métrico)</t>
  </si>
  <si>
    <t xml:space="preserve">Valor usual para vertedero de cresta ancha</t>
  </si>
  <si>
    <t xml:space="preserve">Desn_franja</t>
  </si>
  <si>
    <t xml:space="preserve">Desnivel que ocupa una franja de árboles</t>
  </si>
  <si>
    <t xml:space="preserve">Ejemplo de Yeomans en la diap. 40 (árboles de 12 m + franja de 3 m = 15 m)</t>
  </si>
  <si>
    <t xml:space="preserve">Ancho_franja</t>
  </si>
  <si>
    <t xml:space="preserve">Ancho de cada franja de árboles en planta</t>
  </si>
  <si>
    <t xml:space="preserve">Entre 4 y 10 hileras (diap. 40); 10 m es un valor para practicar</t>
  </si>
  <si>
    <t xml:space="preserve">Ancho_camino</t>
  </si>
  <si>
    <t xml:space="preserve">Ancho de los caminos</t>
  </si>
  <si>
    <t xml:space="preserve">Valor para practicar</t>
  </si>
  <si>
    <t xml:space="preserve">Area_constr</t>
  </si>
  <si>
    <t xml:space="preserve">Casa, corrales y bodega</t>
  </si>
  <si>
    <t xml:space="preserve">Descanso</t>
  </si>
  <si>
    <t xml:space="preserve">Días de descanso que necesita el pasto</t>
  </si>
  <si>
    <t xml:space="preserve">Ajústelo al pasto y a la época del año</t>
  </si>
  <si>
    <t xml:space="preserve">Margen_grav</t>
  </si>
  <si>
    <t xml:space="preserve">Carga mínima para considerar que un bebedero tiene agua por gravedad</t>
  </si>
  <si>
    <t xml:space="preserve">Criterio del ejercicio, no norma</t>
  </si>
  <si>
    <t xml:space="preserve">Q_casa</t>
  </si>
  <si>
    <t xml:space="preserve">Caudal de diseño para la casa</t>
  </si>
  <si>
    <t xml:space="preserve">L/s</t>
  </si>
  <si>
    <t xml:space="preserve">Un grifo abierto, aproximadamente</t>
  </si>
  <si>
    <t xml:space="preserve">D_tubo</t>
  </si>
  <si>
    <t xml:space="preserve">Diámetro interno de la manguera o tubo a la casa</t>
  </si>
  <si>
    <t xml:space="preserve">mm</t>
  </si>
  <si>
    <t xml:space="preserve">Confirme el diámetro interno con el catálogo del tubo que compre</t>
  </si>
  <si>
    <t xml:space="preserve">C_HW</t>
  </si>
  <si>
    <t xml:space="preserve">Coeficiente de Hazen-Williams del tubo</t>
  </si>
  <si>
    <t xml:space="preserve">Valor usual para PVC o polietileno nuevo</t>
  </si>
  <si>
    <t xml:space="preserve">F_trazado</t>
  </si>
  <si>
    <t xml:space="preserve">Factor de trazado (la tubería no va en línea recta)</t>
  </si>
  <si>
    <t xml:space="preserve">Longitud real ÷ línea recta. Valor para practicar.</t>
  </si>
  <si>
    <t xml:space="preserve">Dist_cacao</t>
  </si>
  <si>
    <t xml:space="preserve">Distancia de siembra del cacao (en cuadro)</t>
  </si>
  <si>
    <t xml:space="preserve">Valor para practicar (3 × 3 m)</t>
  </si>
  <si>
    <t xml:space="preserve">Tolerancia</t>
  </si>
  <si>
    <t xml:space="preserve">Tolerancia para decir que dos cifras coinciden</t>
  </si>
  <si>
    <t xml:space="preserve">%</t>
  </si>
  <si>
    <t xml:space="preserve">Se usa en la hoja 11</t>
  </si>
  <si>
    <t xml:space="preserve">Velocidad máxima sin erosión en canales (Clase 6: Chow 1959, tabla de Fortier y Scobey; agua limpia, canal recto)</t>
  </si>
  <si>
    <t xml:space="preserve">Material del canal</t>
  </si>
  <si>
    <t xml:space="preserve">V máx (m/s)</t>
  </si>
  <si>
    <t xml:space="preserve">Nota</t>
  </si>
  <si>
    <t xml:space="preserve">Arena fina</t>
  </si>
  <si>
    <t xml:space="preserve">Franco arenoso</t>
  </si>
  <si>
    <t xml:space="preserve">Franco limoso</t>
  </si>
  <si>
    <t xml:space="preserve">Arcilla firme</t>
  </si>
  <si>
    <t xml:space="preserve">Grava gruesa</t>
  </si>
  <si>
    <t xml:space="preserve">Pasto bien establecido</t>
  </si>
  <si>
    <t xml:space="preserve">La Clase 6 da 1,2 a 1,8 m/s; aquí se usa el valor bajo</t>
  </si>
  <si>
    <t xml:space="preserve">Hoja 2 · Medir en el plano con la escala gráfica</t>
  </si>
  <si>
    <t xml:space="preserve">Capa 2 (Geografía). Antes de calcular hay que medir: aquí se pasan las medidas del plano a metros reales.</t>
  </si>
  <si>
    <t xml:space="preserve">A. La escala: cuántos metros vale una unidad del plano</t>
  </si>
  <si>
    <t xml:space="preserve">Paso</t>
  </si>
  <si>
    <t xml:space="preserve">Qué se mide o calcula</t>
  </si>
  <si>
    <t xml:space="preserve">Cómo y por qué</t>
  </si>
  <si>
    <t xml:space="preserve">2.1</t>
  </si>
  <si>
    <t xml:space="preserve">Longitud de la barra de 100 m en el plano</t>
  </si>
  <si>
    <t xml:space="preserve">Se mide la barra de escala con regla (en el A3, en mm) o en pantalla (px).</t>
  </si>
  <si>
    <t xml:space="preserve">2.2</t>
  </si>
  <si>
    <t xml:space="preserve">Distancia real que representa la barra</t>
  </si>
  <si>
    <t xml:space="preserve">2.3</t>
  </si>
  <si>
    <t xml:space="preserve">Escala s = distancia real ÷ longitud en el plano</t>
  </si>
  <si>
    <t xml:space="preserve">m/px</t>
  </si>
  <si>
    <t xml:space="preserve">Toda medida del plano se multiplica por s para pasarla a metros. Un área se multiplica por s².</t>
  </si>
  <si>
    <t xml:space="preserve">B. Verifique el área del predio</t>
  </si>
  <si>
    <t xml:space="preserve">2.4</t>
  </si>
  <si>
    <t xml:space="preserve">Ancho del predio en el plano (lindero oeste a lindero este)</t>
  </si>
  <si>
    <t xml:space="preserve">Se mide entre las líneas de lindero.</t>
  </si>
  <si>
    <t xml:space="preserve">2.5</t>
  </si>
  <si>
    <t xml:space="preserve">Alto del predio en el plano (lindero sur a lindero norte)</t>
  </si>
  <si>
    <t xml:space="preserve">2.6</t>
  </si>
  <si>
    <t xml:space="preserve">Ancho real = ancho en el plano × s</t>
  </si>
  <si>
    <t xml:space="preserve">2.7</t>
  </si>
  <si>
    <t xml:space="preserve">Alto real = alto en el plano × s</t>
  </si>
  <si>
    <t xml:space="preserve">2.8</t>
  </si>
  <si>
    <t xml:space="preserve">Área = ancho × alto ÷ 10.000</t>
  </si>
  <si>
    <t xml:space="preserve">Un rectángulo: si el lindero fuera irregular se usaría el área por coordenadas (hoja 9).</t>
  </si>
  <si>
    <t xml:space="preserve">2.9</t>
  </si>
  <si>
    <t xml:space="preserve">Diferencia con el dato del caso (35 ha)</t>
  </si>
  <si>
    <t xml:space="preserve">Una diferencia de pocos por ciento es normal al medir sobre un plano.</t>
  </si>
  <si>
    <t xml:space="preserve">C. Canal occidental: longitud como suma de tramos rectos (polilínea)</t>
  </si>
  <si>
    <t xml:space="preserve">Vértice</t>
  </si>
  <si>
    <t xml:space="preserve">Punto</t>
  </si>
  <si>
    <t xml:space="preserve">x (px)</t>
  </si>
  <si>
    <t xml:space="preserve">y (px)</t>
  </si>
  <si>
    <t xml:space="preserve">Tramo (px)</t>
  </si>
  <si>
    <t xml:space="preserve">Tramo (m)</t>
  </si>
  <si>
    <t xml:space="preserve">Cómo se calcula</t>
  </si>
  <si>
    <t xml:space="preserve">V1</t>
  </si>
  <si>
    <t xml:space="preserve">Inicio en el lindero occidental</t>
  </si>
  <si>
    <t xml:space="preserve">V2</t>
  </si>
  <si>
    <t xml:space="preserve">Tramo = √(Δx² + Δy²) (Pitágoras) entre un vértice y el anterior.</t>
  </si>
  <si>
    <t xml:space="preserve">V3</t>
  </si>
  <si>
    <t xml:space="preserve">V4</t>
  </si>
  <si>
    <t xml:space="preserve">V5</t>
  </si>
  <si>
    <t xml:space="preserve">V6</t>
  </si>
  <si>
    <t xml:space="preserve">V7</t>
  </si>
  <si>
    <t xml:space="preserve">V8</t>
  </si>
  <si>
    <t xml:space="preserve">Entrega en el vaso de la represa occidental</t>
  </si>
  <si>
    <t xml:space="preserve">2.10</t>
  </si>
  <si>
    <t xml:space="preserve">Longitud total = suma de los tramos</t>
  </si>
  <si>
    <t xml:space="preserve">Entre más vértices, más se acerca a la curva real. En QGIS la longitud sale directo de la capa.</t>
  </si>
  <si>
    <t xml:space="preserve">Diferencia con la diapositiva 47</t>
  </si>
  <si>
    <t xml:space="preserve">D. Canal de vertedero a vertedero: longitud por polilínea</t>
  </si>
  <si>
    <t xml:space="preserve">Vertedero de la represa occidental (extremo oriental del muro)</t>
  </si>
  <si>
    <t xml:space="preserve">V9</t>
  </si>
  <si>
    <t xml:space="preserve">Entrega en el vaso de la represa oriental</t>
  </si>
  <si>
    <t xml:space="preserve">2.11</t>
  </si>
  <si>
    <t xml:space="preserve">E. Otras medidas tomadas en el plano (se usan en las hojas 6 a 10)</t>
  </si>
  <si>
    <t xml:space="preserve">Elemento</t>
  </si>
  <si>
    <t xml:space="preserve">En el plano (px)</t>
  </si>
  <si>
    <t xml:space="preserve">Real (m)</t>
  </si>
  <si>
    <t xml:space="preserve">Cómo se midió</t>
  </si>
  <si>
    <t xml:space="preserve">2.12</t>
  </si>
  <si>
    <t xml:space="preserve">Corona del muro de la represa occidental</t>
  </si>
  <si>
    <t xml:space="preserve">Largo de la barra café del muro.</t>
  </si>
  <si>
    <t xml:space="preserve">2.13</t>
  </si>
  <si>
    <t xml:space="preserve">Corona del muro de la represa oriental</t>
  </si>
  <si>
    <t xml:space="preserve">2.14</t>
  </si>
  <si>
    <t xml:space="preserve">Caño dentro del predio (lindero sur)</t>
  </si>
  <si>
    <t xml:space="preserve">Igual al ancho del predio; el caño serpentea poco.</t>
  </si>
  <si>
    <t xml:space="preserve">2.15</t>
  </si>
  <si>
    <t xml:space="preserve">Ancho de la banda verde de la ronda, como está dibujada</t>
  </si>
  <si>
    <t xml:space="preserve">Para comparar con los 30 m del diseño.</t>
  </si>
  <si>
    <t xml:space="preserve">2.16</t>
  </si>
  <si>
    <t xml:space="preserve">Cacao: distancia entre las dos franjas en el eje del lomo central</t>
  </si>
  <si>
    <t xml:space="preserve">Del borde superior al inferior de la mancha ocre, sobre el camino del lomo.</t>
  </si>
  <si>
    <t xml:space="preserve">2.17</t>
  </si>
  <si>
    <t xml:space="preserve">Tubería represa occidental → bebedero B1</t>
  </si>
  <si>
    <t xml:space="preserve">Dos tramos: 45 px bajando del muro + 133 px hacia el occidente.</t>
  </si>
  <si>
    <t xml:space="preserve">2.18</t>
  </si>
  <si>
    <t xml:space="preserve">Tubería represa occidental → bebedero B2</t>
  </si>
  <si>
    <t xml:space="preserve">Un tramo recto, bajando del muro.</t>
  </si>
  <si>
    <t xml:space="preserve">2.19</t>
  </si>
  <si>
    <t xml:space="preserve">Tubería represa oriental → bebedero B3</t>
  </si>
  <si>
    <t xml:space="preserve">2.20</t>
  </si>
  <si>
    <t xml:space="preserve">Tubería represa oriental → bebedero B4</t>
  </si>
  <si>
    <t xml:space="preserve">Dos tramos: 44 px bajando del muro + 142 px hacia el oriente.</t>
  </si>
  <si>
    <t xml:space="preserve">2.21</t>
  </si>
  <si>
    <t xml:space="preserve">Casa nueva → muro de la represa oriental (línea recta)</t>
  </si>
  <si>
    <t xml:space="preserve">Del cuadro anaranjado al centro del muro.</t>
  </si>
  <si>
    <t xml:space="preserve">2.22</t>
  </si>
  <si>
    <t xml:space="preserve">Camino principal por el lomo principal (lindero norte)</t>
  </si>
  <si>
    <t xml:space="preserve">Línea negra punteada de la vía veredal al occidente.</t>
  </si>
  <si>
    <t xml:space="preserve">2.23</t>
  </si>
  <si>
    <t xml:space="preserve">Camino por el lomo primario hasta la casa nueva</t>
  </si>
  <si>
    <t xml:space="preserve">Línea negra punteada vertical.</t>
  </si>
  <si>
    <t xml:space="preserve">2.24</t>
  </si>
  <si>
    <t xml:space="preserve">Camino de trabajo bajo el canal</t>
  </si>
  <si>
    <t xml:space="preserve">Línea negra punteada que rodea la punta del lomo central.</t>
  </si>
  <si>
    <t xml:space="preserve">2.25</t>
  </si>
  <si>
    <t xml:space="preserve">Franjas de árboles: longitud total de las dos</t>
  </si>
  <si>
    <t xml:space="preserve">Estimada: área verde dibujada ÷ ancho dibujado. En QGIS se mide la línea.</t>
  </si>
  <si>
    <t xml:space="preserve">Las medidas en px se tomaron sobre la imagen de la diapositiva 47 (1.597 px de ancho). El error de lectura es de unos 2 a 3 px, es decir, de 3 a 4 m.</t>
  </si>
  <si>
    <t xml:space="preserve">Hoja 3 · ¿Cuánto guarda cada represa?</t>
  </si>
  <si>
    <t xml:space="preserve">Capa 3 (Agua). Tres maneras de calcular el volumen de una represa de punto clave y cómo se comparan con el modelo de terreno.</t>
  </si>
  <si>
    <t xml:space="preserve">3.0 Datos de partida de cada represa</t>
  </si>
  <si>
    <t xml:space="preserve">Qué se calcula</t>
  </si>
  <si>
    <t xml:space="preserve">Occidental</t>
  </si>
  <si>
    <t xml:space="preserve">Oriental</t>
  </si>
  <si>
    <t xml:space="preserve">Por qué / de dónde sale</t>
  </si>
  <si>
    <t xml:space="preserve">3.1</t>
  </si>
  <si>
    <t xml:space="preserve">Nivel del agua de la represa llena</t>
  </si>
  <si>
    <t xml:space="preserve">= cota del punto clave (hoja 1)</t>
  </si>
  <si>
    <t xml:space="preserve">En una represa de punto clave el muro se ubica para que el agua llegue hasta la línea clave (diap. 38).</t>
  </si>
  <si>
    <t xml:space="preserve">3.2</t>
  </si>
  <si>
    <t xml:space="preserve">Área del espejo de agua (A)</t>
  </si>
  <si>
    <t xml:space="preserve">Dato del modelo de terreno</t>
  </si>
  <si>
    <t xml:space="preserve">En QGIS: el polígono que encierra la curva del nivel del agua dentro del vaso.</t>
  </si>
  <si>
    <t xml:space="preserve">3.3</t>
  </si>
  <si>
    <t xml:space="preserve">Profundidad máxima (H)</t>
  </si>
  <si>
    <t xml:space="preserve">Del nivel del agua al punto más bajo del vaso, junto al muro.</t>
  </si>
  <si>
    <t xml:space="preserve">3.4</t>
  </si>
  <si>
    <t xml:space="preserve">Cota del fondo</t>
  </si>
  <si>
    <t xml:space="preserve">Fondo = nivel del agua − H</t>
  </si>
  <si>
    <t xml:space="preserve">Sirve para saber qué queda por debajo de la represa (casa, bebederos) y para la altura del muro.</t>
  </si>
  <si>
    <t xml:space="preserve">3.5</t>
  </si>
  <si>
    <t xml:space="preserve">Volumen según el modelo de terreno</t>
  </si>
  <si>
    <t xml:space="preserve">Dato de la diapositiva 47</t>
  </si>
  <si>
    <t xml:space="preserve">Es la cifra contra la que comparamos los tres métodos.</t>
  </si>
  <si>
    <t xml:space="preserve">Método A · Factor de forma: qué parte del «cajón» A × H ocupa el agua</t>
  </si>
  <si>
    <t xml:space="preserve">3.6</t>
  </si>
  <si>
    <t xml:space="preserve">Volumen del cajón que encierra el vaso</t>
  </si>
  <si>
    <t xml:space="preserve">= A × H</t>
  </si>
  <si>
    <t xml:space="preserve">Si el vaso fuera un cajón de paredes verticales, guardaría esto. El valle tiene forma de V: guarda menos.</t>
  </si>
  <si>
    <t xml:space="preserve">3.7</t>
  </si>
  <si>
    <t xml:space="preserve">Factor de forma k</t>
  </si>
  <si>
    <t xml:space="preserve">k = V del modelo ÷ (A × H)</t>
  </si>
  <si>
    <t xml:space="preserve">Un cajón da k = 1; una pirámide, k = 1/3. El vaso de un valle queda cerca de la pirámide: aquí salen 0,40 y 0,39.</t>
  </si>
  <si>
    <t xml:space="preserve">3.8</t>
  </si>
  <si>
    <t xml:space="preserve">Volumen con la regla de bolsillo</t>
  </si>
  <si>
    <t xml:space="preserve">V ≈ k de bolsillo × A × H (k = 0,4, hoja 1)</t>
  </si>
  <si>
    <t xml:space="preserve">Para un primer tanteo en campo o en papel, cuando solo se conoce el espejo y la profundidad.</t>
  </si>
  <si>
    <t xml:space="preserve">3.9</t>
  </si>
  <si>
    <t xml:space="preserve">Diferencia de la regla con el modelo</t>
  </si>
  <si>
    <t xml:space="preserve">= (V regla − V modelo) ÷ V modelo</t>
  </si>
  <si>
    <t xml:space="preserve">3.10</t>
  </si>
  <si>
    <t xml:space="preserve">Exponente de forma del vaso (m)</t>
  </si>
  <si>
    <t xml:space="preserve">m = 1 ÷ k</t>
  </si>
  <si>
    <t xml:space="preserve">Modelo del vaso: el volumen crece como (h/H)^m y el área como (h/H)^(m−1). Lo usamos para estimar áreas a cualquier profundidad (métodos B y C y la hoja 5). Es una aproximación: no reemplaza la medición en QGIS.</t>
  </si>
  <si>
    <t xml:space="preserve">Método B · Prismoide (fórmula de la Clase 6): V = H ÷ 6 × (A arriba + 4 × A media + A fondo)</t>
  </si>
  <si>
    <t xml:space="preserve">3.11</t>
  </si>
  <si>
    <t xml:space="preserve">Área arriba (el espejo)</t>
  </si>
  <si>
    <t xml:space="preserve">= A</t>
  </si>
  <si>
    <t xml:space="preserve">3.12</t>
  </si>
  <si>
    <t xml:space="preserve">Área a media profundidad</t>
  </si>
  <si>
    <t xml:space="preserve">≈ A × 0,5^(m − 1)</t>
  </si>
  <si>
    <t xml:space="preserve">ESTIMADA con el modelo del vaso. En el ejercicio real se mide en QGIS el área que encierra la curva a media profundidad. Escriba encima su medida.</t>
  </si>
  <si>
    <t xml:space="preserve">3.13</t>
  </si>
  <si>
    <t xml:space="preserve">Área del fondo</t>
  </si>
  <si>
    <t xml:space="preserve">En un valle el fondo es casi una línea</t>
  </si>
  <si>
    <t xml:space="preserve">Por eso el área del fondo se toma como cero.</t>
  </si>
  <si>
    <t xml:space="preserve">3.14</t>
  </si>
  <si>
    <t xml:space="preserve">Volumen por prismoide</t>
  </si>
  <si>
    <t xml:space="preserve">= H ÷ 6 × (A arriba + 4 × A media + A fondo)</t>
  </si>
  <si>
    <t xml:space="preserve">Es la fórmula del ejercicio 6. Pesa cuatro veces el área del medio porque es la que mejor representa el vaso.</t>
  </si>
  <si>
    <t xml:space="preserve">3.15</t>
  </si>
  <si>
    <t xml:space="preserve">Diferencia con el modelo</t>
  </si>
  <si>
    <t xml:space="preserve">= (V prismoide − V modelo) ÷ V modelo</t>
  </si>
  <si>
    <t xml:space="preserve">Método C · Capas entre curvas de nivel (curvas cada 1 m): se suman rebanadas</t>
  </si>
  <si>
    <t xml:space="preserve">Cada capa es una rebanada entre dos curvas. Volumen de la capa = espesor × (área de arriba + área de abajo) ÷ 2. Las áreas son ESTIMADAS con el modelo del vaso: reemplácelas por las que mida en QGIS (Módulo 3).</t>
  </si>
  <si>
    <t xml:space="preserve">Capa</t>
  </si>
  <si>
    <t xml:space="preserve">Represa occidental: curva</t>
  </si>
  <si>
    <t xml:space="preserve">Cota de la curva (m)</t>
  </si>
  <si>
    <t xml:space="preserve">Área que encierra (m²)</t>
  </si>
  <si>
    <t xml:space="preserve">Espesor (m)</t>
  </si>
  <si>
    <t xml:space="preserve">Volumen (m³)</t>
  </si>
  <si>
    <t xml:space="preserve">Nivel del agua</t>
  </si>
  <si>
    <t xml:space="preserve">Primera curva entera</t>
  </si>
  <si>
    <t xml:space="preserve">La primera capa es más delgada: va del nivel del agua a la primera curva entera.</t>
  </si>
  <si>
    <t xml:space="preserve">Curva siguiente</t>
  </si>
  <si>
    <t xml:space="preserve">Fondo del vaso</t>
  </si>
  <si>
    <t xml:space="preserve">Si una curva cae por debajo del fondo, su capa queda con espesor cero.</t>
  </si>
  <si>
    <t xml:space="preserve">3.16</t>
  </si>
  <si>
    <t xml:space="preserve">Volumen total = suma de las capas</t>
  </si>
  <si>
    <t xml:space="preserve">Represa oriental: curva</t>
  </si>
  <si>
    <t xml:space="preserve">3.17</t>
  </si>
  <si>
    <t xml:space="preserve">Resumen: los tres métodos frente al modelo de terreno</t>
  </si>
  <si>
    <t xml:space="preserve">Método</t>
  </si>
  <si>
    <t xml:space="preserve">Qué necesita</t>
  </si>
  <si>
    <t xml:space="preserve">Cuándo usarlo</t>
  </si>
  <si>
    <t xml:space="preserve">Modelo de terreno (diap. 47)</t>
  </si>
  <si>
    <t xml:space="preserve">MDT completo</t>
  </si>
  <si>
    <t xml:space="preserve">Diseño ejecutivo.</t>
  </si>
  <si>
    <t xml:space="preserve">A · Regla de bolsillo (k = 0,4)</t>
  </si>
  <si>
    <t xml:space="preserve">Espejo y profundidad</t>
  </si>
  <si>
    <t xml:space="preserve">Tanteo rápido en campo.</t>
  </si>
  <si>
    <t xml:space="preserve">B · Prismoide</t>
  </si>
  <si>
    <t xml:space="preserve">Tres áreas</t>
  </si>
  <si>
    <t xml:space="preserve">Diseño preliminar con plano de curvas.</t>
  </si>
  <si>
    <t xml:space="preserve">C · Capas entre curvas</t>
  </si>
  <si>
    <t xml:space="preserve">Área de cada curva</t>
  </si>
  <si>
    <t xml:space="preserve">Lo que hace el SIG por dentro.</t>
  </si>
  <si>
    <t xml:space="preserve">Hoja 4 · ¿Alcanza el agua para 40 reses en 120 días de verano?</t>
  </si>
  <si>
    <t xml:space="preserve">Capa 3 (Agua). Cálculo conservador del ejercicio 6: pérdidas con el área del espejo lleno durante todo el verano.</t>
  </si>
  <si>
    <t xml:space="preserve">A. Lo que toman las reses</t>
  </si>
  <si>
    <t xml:space="preserve">4.1</t>
  </si>
  <si>
    <t xml:space="preserve">Consumo diario del hato</t>
  </si>
  <si>
    <t xml:space="preserve">= reses × L por res al día ÷ 1.000</t>
  </si>
  <si>
    <t xml:space="preserve">m³/día</t>
  </si>
  <si>
    <t xml:space="preserve">Se supone que cada represa sola atiende a las 40 reses (el caso más exigente).</t>
  </si>
  <si>
    <t xml:space="preserve">4.2</t>
  </si>
  <si>
    <t xml:space="preserve">Consumo en el verano</t>
  </si>
  <si>
    <t xml:space="preserve">= consumo diario × días de verano</t>
  </si>
  <si>
    <t xml:space="preserve">Notas de la diap. 47: 240 m³.</t>
  </si>
  <si>
    <t xml:space="preserve">B. Lo que pierde el espejo de agua</t>
  </si>
  <si>
    <t xml:space="preserve">4.3</t>
  </si>
  <si>
    <t xml:space="preserve">Lámina evaporada en el verano</t>
  </si>
  <si>
    <t xml:space="preserve">= mm por día × días ÷ 1.000</t>
  </si>
  <si>
    <t xml:space="preserve">La evaporación es una lámina: no depende de cuánta agua hay, sino del área expuesta al sol y al viento.</t>
  </si>
  <si>
    <t xml:space="preserve">4.4</t>
  </si>
  <si>
    <t xml:space="preserve">Evaporación del verano</t>
  </si>
  <si>
    <t xml:space="preserve">= lámina × área del espejo</t>
  </si>
  <si>
    <t xml:space="preserve">Notas de la diap. 47: «unos 3.400 m³» por espejo.</t>
  </si>
  <si>
    <t xml:space="preserve">4.5</t>
  </si>
  <si>
    <t xml:space="preserve">Parte del volumen que se evapora</t>
  </si>
  <si>
    <t xml:space="preserve">= evaporación ÷ volumen de la represa</t>
  </si>
  <si>
    <t xml:space="preserve">«Casi la mitad de lo que guarda»: por eso, si se puede, más hondo y no más ancho (tabla D).</t>
  </si>
  <si>
    <t xml:space="preserve">4.6</t>
  </si>
  <si>
    <t xml:space="preserve">Lámina infiltrada en el verano</t>
  </si>
  <si>
    <t xml:space="preserve">4.7</t>
  </si>
  <si>
    <t xml:space="preserve">Infiltración del verano</t>
  </si>
  <si>
    <t xml:space="preserve">Conservador: se usa el área de arriba, como en el ejercicio 6.</t>
  </si>
  <si>
    <t xml:space="preserve">4.8</t>
  </si>
  <si>
    <t xml:space="preserve">Pérdidas del espejo</t>
  </si>
  <si>
    <t xml:space="preserve">= evaporación + infiltración</t>
  </si>
  <si>
    <t xml:space="preserve">Comparar con la nota de la diap. 47 en la hoja 11.</t>
  </si>
  <si>
    <t xml:space="preserve">C. ¿Alcanza?</t>
  </si>
  <si>
    <t xml:space="preserve">4.9</t>
  </si>
  <si>
    <t xml:space="preserve">Demanda total del verano</t>
  </si>
  <si>
    <t xml:space="preserve">= consumo + pérdidas del espejo</t>
  </si>
  <si>
    <t xml:space="preserve">4.10</t>
  </si>
  <si>
    <t xml:space="preserve">Volumen de la represa llena</t>
  </si>
  <si>
    <t xml:space="preserve">= volumen del modelo (hoja 1)</t>
  </si>
  <si>
    <t xml:space="preserve">4.11</t>
  </si>
  <si>
    <t xml:space="preserve">Margen al final del verano</t>
  </si>
  <si>
    <t xml:space="preserve">= volumen − demanda</t>
  </si>
  <si>
    <t xml:space="preserve">4.12</t>
  </si>
  <si>
    <t xml:space="preserve">Margen como parte de la capacidad</t>
  </si>
  <si>
    <t xml:space="preserve">= margen ÷ volumen</t>
  </si>
  <si>
    <t xml:space="preserve">La meta del ejercicio 6 es un margen de 20 a 30 %.</t>
  </si>
  <si>
    <t xml:space="preserve">4.13</t>
  </si>
  <si>
    <t xml:space="preserve">¿Alcanza para el verano?</t>
  </si>
  <si>
    <t xml:space="preserve">= SI(margen ≥ 0; "Sí"; "No")</t>
  </si>
  <si>
    <t xml:space="preserve">4.14</t>
  </si>
  <si>
    <t xml:space="preserve">Por cada m³ que toman las reses, el espejo pierde…</t>
  </si>
  <si>
    <t xml:space="preserve">= pérdidas del espejo ÷ consumo</t>
  </si>
  <si>
    <t xml:space="preserve">veces</t>
  </si>
  <si>
    <t xml:space="preserve">La lección del ejercicio: casi toda el agua que sale de la represa en verano se la lleva el aire, no el ganado.</t>
  </si>
  <si>
    <t xml:space="preserve">D. Más hondo, no más ancho: el mismo volumen de la occidental con distintas profundidades</t>
  </si>
  <si>
    <t xml:space="preserve">Profundidad máxima H (m)</t>
  </si>
  <si>
    <t xml:space="preserve">Espejo necesario = V ÷ (k × H)</t>
  </si>
  <si>
    <t xml:space="preserve">Espejo (m²)</t>
  </si>
  <si>
    <t xml:space="preserve">Evaporación del verano (m³)</t>
  </si>
  <si>
    <t xml:space="preserve">Se evapora</t>
  </si>
  <si>
    <t xml:space="preserve">Lectura</t>
  </si>
  <si>
    <t xml:space="preserve">= V occidental ÷ (k occidental × H)</t>
  </si>
  <si>
    <t xml:space="preserve">Con el mismo volumen, cada metro de profundidad reduce el espejo y la evaporación. Yeomans recomendaba represas de finca con 3 a 7 m de agua (Clase 6).</t>
  </si>
  <si>
    <t xml:space="preserve">Esta fila es el diseño de referencia.</t>
  </si>
  <si>
    <t xml:space="preserve">E. ¿La cuenca alcanza para llenarlas?</t>
  </si>
  <si>
    <t xml:space="preserve">4.15</t>
  </si>
  <si>
    <t xml:space="preserve">Escorrentía anual que da una hectárea de cuenca</t>
  </si>
  <si>
    <t xml:space="preserve">= lluvia (mm) ÷ 1.000 × C anual × 10.000 m²</t>
  </si>
  <si>
    <t xml:space="preserve">m³/ha</t>
  </si>
  <si>
    <t xml:space="preserve">Con 2.500 mm al año, cada hectárea de potrero entrega unos 7.500 m³ de escorrentía.</t>
  </si>
  <si>
    <t xml:space="preserve">4.16</t>
  </si>
  <si>
    <t xml:space="preserve">Cuenca mínima para llenar cada represa una vez al año</t>
  </si>
  <si>
    <t xml:space="preserve">= volumen ÷ escorrentía por hectárea</t>
  </si>
  <si>
    <t xml:space="preserve">Mida en el plano la cuenca real de cada represa (de la divisoria al muro, más lo que intercepta el canal). Si es mayor, sobra agua y manda el vertedero (hoja 6).</t>
  </si>
  <si>
    <t xml:space="preserve">4.17</t>
  </si>
  <si>
    <t xml:space="preserve">Cuenca mínima para llenar las dos en serie</t>
  </si>
  <si>
    <t xml:space="preserve">= (V occidental + V oriental) ÷ escorrentía por ha</t>
  </si>
  <si>
    <t xml:space="preserve">La oriental se llena también con el rebose de la occidental, que le llega por el canal de vertedero a vertedero.</t>
  </si>
  <si>
    <t xml:space="preserve">Hoja 5 · El verano día a día: cómo baja el agua cuando el espejo se achica</t>
  </si>
  <si>
    <t xml:space="preserve">Capa 3 (Agua). La hoja 4 supone el espejo lleno todo el verano. Aquí el espejo se achica a medida que baja el nivel, como en la realidad.</t>
  </si>
  <si>
    <t xml:space="preserve">Cómo se calcula cada día</t>
  </si>
  <si>
    <t xml:space="preserve">1. Volumen de hoy = volumen de ayer − pérdidas del espejo de ayer − consumo de ayer (nunca menos de cero).</t>
  </si>
  <si>
    <t xml:space="preserve">2. Profundidad = H × (V ÷ V lleno)^(1 ÷ m)   ·   Espejo = A × (V ÷ V lleno)^((m − 1) ÷ m)   (modelo del vaso de la hoja 3).</t>
  </si>
  <si>
    <t xml:space="preserve">3. Pérdidas del espejo = (evaporación + infiltración en mm/día) ÷ 1.000 × espejo de ese día.   ·   Nivel = cota del fondo + profundidad.</t>
  </si>
  <si>
    <t xml:space="preserve">Resultados al final del verano</t>
  </si>
  <si>
    <t xml:space="preserve">Resultado</t>
  </si>
  <si>
    <t xml:space="preserve">Volumen al final del verano</t>
  </si>
  <si>
    <t xml:space="preserve">El cálculo conservador de la hoja 4 queda del lado seguro: es la cifra para diseñar.</t>
  </si>
  <si>
    <t xml:space="preserve">Nivel del agua al final del verano</t>
  </si>
  <si>
    <t xml:space="preserve">Descenso del nivel en el verano</t>
  </si>
  <si>
    <t xml:space="preserve">Pérdidas del espejo simuladas</t>
  </si>
  <si>
    <t xml:space="preserve">Pérdidas con el cálculo conservador (hoja 4)</t>
  </si>
  <si>
    <t xml:space="preserve">Diferencia del cálculo conservador</t>
  </si>
  <si>
    <t xml:space="preserve">Carga sobre la casa nueva al final del verano</t>
  </si>
  <si>
    <t xml:space="preserve">no aplica</t>
  </si>
  <si>
    <t xml:space="preserve">Usada en la hoja 8.</t>
  </si>
  <si>
    <t xml:space="preserve">Tabla diaria</t>
  </si>
  <si>
    <t xml:space="preserve">REPRESA OCCIDENTAL</t>
  </si>
  <si>
    <t xml:space="preserve">REPRESA ORIENTAL</t>
  </si>
  <si>
    <t xml:space="preserve">Día</t>
  </si>
  <si>
    <t xml:space="preserve">Profundidad (m)</t>
  </si>
  <si>
    <t xml:space="preserve">Pérdida espejo (m³)</t>
  </si>
  <si>
    <t xml:space="preserve">Consumo (m³)</t>
  </si>
  <si>
    <t xml:space="preserve">Nivel (m)</t>
  </si>
  <si>
    <t xml:space="preserve">Cota casa (m)</t>
  </si>
  <si>
    <t xml:space="preserve">Hoja 6 · Muros y vertederos: qué tan alto el muro y qué tan ancho el vertedero</t>
  </si>
  <si>
    <t xml:space="preserve">Capa 3 (Agua). ¿A qué cota está el vertedero y a dónde va el rebose? (diap. 46).</t>
  </si>
  <si>
    <t xml:space="preserve">A. Cotas del muro</t>
  </si>
  <si>
    <t xml:space="preserve">6.1</t>
  </si>
  <si>
    <t xml:space="preserve">Cota del vertedero (nivel del agua)</t>
  </si>
  <si>
    <t xml:space="preserve">= cota del punto clave</t>
  </si>
  <si>
    <t xml:space="preserve">El vertedero fija el nivel máximo del agua: aquí, la línea clave.</t>
  </si>
  <si>
    <t xml:space="preserve">6.2</t>
  </si>
  <si>
    <t xml:space="preserve">Cota del fondo junto al muro</t>
  </si>
  <si>
    <t xml:space="preserve">= hoja 3, paso 3.4</t>
  </si>
  <si>
    <t xml:space="preserve">6.3</t>
  </si>
  <si>
    <t xml:space="preserve">Borde libre</t>
  </si>
  <si>
    <t xml:space="preserve">Dato de la Clase 6</t>
  </si>
  <si>
    <t xml:space="preserve">Protege el muro de las olas y de la lámina que pasa por el vertedero en la creciente.</t>
  </si>
  <si>
    <t xml:space="preserve">6.4</t>
  </si>
  <si>
    <t xml:space="preserve">Cota de la corona del muro</t>
  </si>
  <si>
    <t xml:space="preserve">= cota del vertedero + borde libre</t>
  </si>
  <si>
    <t xml:space="preserve">6.5</t>
  </si>
  <si>
    <t xml:space="preserve">Altura máxima del muro (h)</t>
  </si>
  <si>
    <t xml:space="preserve">= corona − fondo</t>
  </si>
  <si>
    <t xml:space="preserve">Se mide en el centro del valle, donde el muro es más alto.</t>
  </si>
  <si>
    <t xml:space="preserve">6.6</t>
  </si>
  <si>
    <t xml:space="preserve">¿Por debajo de la altura máxima de Yeomans?</t>
  </si>
  <si>
    <t xml:space="preserve">= SI(h ≤ 8 m; "Sí"; "No")</t>
  </si>
  <si>
    <t xml:space="preserve">B. Tierra que lleva el muro</t>
  </si>
  <si>
    <t xml:space="preserve">6.7</t>
  </si>
  <si>
    <t xml:space="preserve">Longitud de la corona (L)</t>
  </si>
  <si>
    <t xml:space="preserve">Medida en el plano (hoja 2)</t>
  </si>
  <si>
    <t xml:space="preserve">6.8</t>
  </si>
  <si>
    <t xml:space="preserve">Ancho de la corona (c)</t>
  </si>
  <si>
    <t xml:space="preserve">Supuesto (hoja 1)</t>
  </si>
  <si>
    <t xml:space="preserve">6.9</t>
  </si>
  <si>
    <t xml:space="preserve">Talud (z, m horizontales por m vertical)</t>
  </si>
  <si>
    <t xml:space="preserve">6.10</t>
  </si>
  <si>
    <t xml:space="preserve">Ancho de la base en el punto más alto</t>
  </si>
  <si>
    <t xml:space="preserve">= c + 2 × z × h</t>
  </si>
  <si>
    <t xml:space="preserve">Sirve para marcar en campo hasta dónde llega el pie del muro.</t>
  </si>
  <si>
    <t xml:space="preserve">6.11</t>
  </si>
  <si>
    <t xml:space="preserve">Área de la sección más alta</t>
  </si>
  <si>
    <t xml:space="preserve">= h × (c + z × h)</t>
  </si>
  <si>
    <t xml:space="preserve">Un trapecio: corona arriba, base abajo.</t>
  </si>
  <si>
    <t xml:space="preserve">6.12</t>
  </si>
  <si>
    <t xml:space="preserve">Volumen de tierra del muro</t>
  </si>
  <si>
    <t xml:space="preserve">= L × (c × h ÷ 2 + z × h² ÷ 3)</t>
  </si>
  <si>
    <t xml:space="preserve">El valle tiene forma de V: el muro crece de 0 en los extremos a h en el centro. Por eso el promedio de h es h ÷ 2 y el de h² es h² ÷ 3.</t>
  </si>
  <si>
    <t xml:space="preserve">6.13</t>
  </si>
  <si>
    <t xml:space="preserve">Relación agua : tierra</t>
  </si>
  <si>
    <t xml:space="preserve">= volumen de agua ÷ volumen de tierra</t>
  </si>
  <si>
    <t xml:space="preserve">m³/m³</t>
  </si>
  <si>
    <t xml:space="preserve">Cuántos m³ de agua se guardan por cada m³ de tierra movida. Sirve para comparar sitios y estimar el costo de cada represa.</t>
  </si>
  <si>
    <t xml:space="preserve">C. Vertedero: ancho para pasar el aguacero de diseño</t>
  </si>
  <si>
    <t xml:space="preserve">6.14</t>
  </si>
  <si>
    <t xml:space="preserve">Lámina de agua sobre el vertedero</t>
  </si>
  <si>
    <t xml:space="preserve">6.15</t>
  </si>
  <si>
    <t xml:space="preserve">Coeficiente de vertedero de cresta ancha</t>
  </si>
  <si>
    <t xml:space="preserve">6.16</t>
  </si>
  <si>
    <t xml:space="preserve">Caudal que pasa por cada metro de vertedero</t>
  </si>
  <si>
    <t xml:space="preserve">q = coeficiente × lámina^1,5</t>
  </si>
  <si>
    <t xml:space="preserve">m³/s por m</t>
  </si>
  <si>
    <t xml:space="preserve">Con 0,30 m de lámina da 0,28: de aquí sale el divisor del ejercicio 6 (ancho = Q ÷ 0,28).</t>
  </si>
  <si>
    <t xml:space="preserve">6.17</t>
  </si>
  <si>
    <t xml:space="preserve">Caudal de creciente por hectárea de cuenca</t>
  </si>
  <si>
    <t xml:space="preserve">Q = C × i × A ÷ 360 (A = 1 ha)</t>
  </si>
  <si>
    <t xml:space="preserve">m³/s por ha</t>
  </si>
  <si>
    <t xml:space="preserve">Fórmula racional del ejercicio 6: Q en m³/s, i en mm/h y A en ha.</t>
  </si>
  <si>
    <t xml:space="preserve">6.18</t>
  </si>
  <si>
    <t xml:space="preserve">Ancho de vertedero por hectárea de cuenca</t>
  </si>
  <si>
    <t xml:space="preserve">= caudal por ha ÷ q</t>
  </si>
  <si>
    <t xml:space="preserve">m por ha</t>
  </si>
  <si>
    <t xml:space="preserve">Cuenca que llega a la represa (ha)</t>
  </si>
  <si>
    <t xml:space="preserve">Caudal (m³/s)</t>
  </si>
  <si>
    <t xml:space="preserve">Ancho del vertedero (m)</t>
  </si>
  <si>
    <t xml:space="preserve">Q = caudal por ha × cuenca · ancho = Q ÷ q</t>
  </si>
  <si>
    <t xml:space="preserve">Mida en el plano la cuenca de cada represa. La occidental recibe su valle más lo que intercepta el canal occidental. La oriental recibe su valle más el rebose de la occidental: su vertedero se dimensiona con la suma de las dos cuencas.</t>
  </si>
  <si>
    <t xml:space="preserve">6.19</t>
  </si>
  <si>
    <t xml:space="preserve">¿A dónde va el rebose?</t>
  </si>
  <si>
    <t xml:space="preserve">Lectura del plano</t>
  </si>
  <si>
    <t xml:space="preserve">Al canal de vertedero a vertedero, que llena la oriental (hoja 7)</t>
  </si>
  <si>
    <t xml:space="preserve">Al cauce natural del valle, hacia el caño</t>
  </si>
  <si>
    <t xml:space="preserve">El vertedero va en un extremo del muro, sobre terreno firme (diap. 38), nunca por encima del relleno.</t>
  </si>
  <si>
    <t xml:space="preserve">Hoja 7 · Canales de desviación a 1:300: dónde empiezan, dónde llegan y qué llevan</t>
  </si>
  <si>
    <t xml:space="preserve">Capa 3 (Agua). El canal occidental trae agua del lomo occidental a la represa occidental; el segundo sale de su vertedero y llena la oriental.</t>
  </si>
  <si>
    <t xml:space="preserve">A. Pendiente, caída y cotas</t>
  </si>
  <si>
    <t xml:space="preserve">Canal occidental</t>
  </si>
  <si>
    <t xml:space="preserve">Vertedero → oriental</t>
  </si>
  <si>
    <t xml:space="preserve">7.1</t>
  </si>
  <si>
    <t xml:space="preserve">Longitud del canal (L)</t>
  </si>
  <si>
    <t xml:space="preserve">7.2</t>
  </si>
  <si>
    <t xml:space="preserve">Longitud medida en el plano</t>
  </si>
  <si>
    <t xml:space="preserve">Polilínea de la hoja 2</t>
  </si>
  <si>
    <t xml:space="preserve">Comparación: la diapositiva redondea.</t>
  </si>
  <si>
    <t xml:space="preserve">7.3</t>
  </si>
  <si>
    <t xml:space="preserve">Pendiente como fracción (S)</t>
  </si>
  <si>
    <t xml:space="preserve">S = 1 ÷ 300</t>
  </si>
  <si>
    <t xml:space="preserve">1:300 quiere decir que el canal baja 1 m por cada 300 m de recorrido.</t>
  </si>
  <si>
    <t xml:space="preserve">7.4</t>
  </si>
  <si>
    <t xml:space="preserve">Pendiente en porcentaje</t>
  </si>
  <si>
    <t xml:space="preserve">= S × 100</t>
  </si>
  <si>
    <t xml:space="preserve">7.5</t>
  </si>
  <si>
    <t xml:space="preserve">Caída total del canal</t>
  </si>
  <si>
    <t xml:space="preserve">= L × S</t>
  </si>
  <si>
    <t xml:space="preserve">7.6</t>
  </si>
  <si>
    <t xml:space="preserve">Cota del inicio</t>
  </si>
  <si>
    <t xml:space="preserve">Occidental: llegada + caída · Segundo canal: cresta del vertedero occidental</t>
  </si>
  <si>
    <t xml:space="preserve">El canal occidental se traza hacia atrás desde la represa; el segundo, hacia adelante desde el vertedero.</t>
  </si>
  <si>
    <t xml:space="preserve">7.7</t>
  </si>
  <si>
    <t xml:space="preserve">Cota de la llegada</t>
  </si>
  <si>
    <t xml:space="preserve">Occidental: nivel del agua · Segundo canal: inicio − caída</t>
  </si>
  <si>
    <t xml:space="preserve">7.8</t>
  </si>
  <si>
    <t xml:space="preserve">Nivel del agua de la represa que recibe</t>
  </si>
  <si>
    <t xml:space="preserve">= punto clave de esa represa</t>
  </si>
  <si>
    <t xml:space="preserve">7.9</t>
  </si>
  <si>
    <t xml:space="preserve">Margen de la llegada sobre el agua</t>
  </si>
  <si>
    <t xml:space="preserve">= llegada − nivel del agua (debe ser ≥ 0)</t>
  </si>
  <si>
    <t xml:space="preserve">Si fuera negativo, el canal llegaría por debajo del agua y no podría entregar.</t>
  </si>
  <si>
    <t xml:space="preserve">7.10</t>
  </si>
  <si>
    <t xml:space="preserve">¿Entrega por encima del agua?</t>
  </si>
  <si>
    <t xml:space="preserve">7.11</t>
  </si>
  <si>
    <t xml:space="preserve">Desnivel disponible entre los dos vertederos</t>
  </si>
  <si>
    <t xml:space="preserve">= punto clave occidental − punto clave oriental</t>
  </si>
  <si>
    <t xml:space="preserve">7.12</t>
  </si>
  <si>
    <t xml:space="preserve">Pendiente máxima posible con ese desnivel (1 en …)</t>
  </si>
  <si>
    <t xml:space="preserve">= L ÷ desnivel disponible</t>
  </si>
  <si>
    <t xml:space="preserve">El canal a 1:300 usa solo parte del desnivel; lo que sobra se baja en la entrega, por el borde del vaso y con una caída protegida, lejos del muro (diap. 38 y 50).</t>
  </si>
  <si>
    <t xml:space="preserve">B. Replanteo en campo: cota de cada estaca cada 20 m</t>
  </si>
  <si>
    <t xml:space="preserve">7.13</t>
  </si>
  <si>
    <t xml:space="preserve">Caída entre estacas</t>
  </si>
  <si>
    <t xml:space="preserve">= 20 m × S</t>
  </si>
  <si>
    <t xml:space="preserve">cm</t>
  </si>
  <si>
    <t xml:space="preserve">Con el nivel (agronivel o topográfico) se marca una estaca cada 20 m, cada una 6,7 cm más baja que la anterior.</t>
  </si>
  <si>
    <t xml:space="preserve">Estaca</t>
  </si>
  <si>
    <t xml:space="preserve">Distancia desde el inicio (m)</t>
  </si>
  <si>
    <t xml:space="preserve">Canal occidental (m)</t>
  </si>
  <si>
    <t xml:space="preserve">Vertedero → oriental (m)</t>
  </si>
  <si>
    <t xml:space="preserve">E0</t>
  </si>
  <si>
    <t xml:space="preserve">Cota = cota del inicio − distancia × S. La última estaca de cada canal debe dar la cota de llegada del paso 7.7.</t>
  </si>
  <si>
    <t xml:space="preserve">E1</t>
  </si>
  <si>
    <t xml:space="preserve">E2</t>
  </si>
  <si>
    <t xml:space="preserve">E3</t>
  </si>
  <si>
    <t xml:space="preserve">E4</t>
  </si>
  <si>
    <t xml:space="preserve">E5</t>
  </si>
  <si>
    <t xml:space="preserve">E6</t>
  </si>
  <si>
    <t xml:space="preserve">E7</t>
  </si>
  <si>
    <t xml:space="preserve">E8</t>
  </si>
  <si>
    <t xml:space="preserve">E9</t>
  </si>
  <si>
    <t xml:space="preserve">E10</t>
  </si>
  <si>
    <t xml:space="preserve">E11</t>
  </si>
  <si>
    <t xml:space="preserve">C. Velocidad y capacidad (Manning, ejemplo de la Clase 6)</t>
  </si>
  <si>
    <t xml:space="preserve">7.14</t>
  </si>
  <si>
    <t xml:space="preserve">Ancho de la base (b)</t>
  </si>
  <si>
    <t xml:space="preserve">7.15</t>
  </si>
  <si>
    <t xml:space="preserve">Profundidad del agua (y)</t>
  </si>
  <si>
    <t xml:space="preserve">Revise con el canal lleno: en el trópico los aguaceros lo llenan hasta el borde.</t>
  </si>
  <si>
    <t xml:space="preserve">7.16</t>
  </si>
  <si>
    <t xml:space="preserve">Talud (z)</t>
  </si>
  <si>
    <t xml:space="preserve">7.17</t>
  </si>
  <si>
    <t xml:space="preserve">Rugosidad (n)</t>
  </si>
  <si>
    <t xml:space="preserve">Tierra con pasto</t>
  </si>
  <si>
    <t xml:space="preserve">7.18</t>
  </si>
  <si>
    <t xml:space="preserve">Área mojada</t>
  </si>
  <si>
    <t xml:space="preserve">A = (b + z × y) × y</t>
  </si>
  <si>
    <t xml:space="preserve">7.19</t>
  </si>
  <si>
    <t xml:space="preserve">Perímetro mojado</t>
  </si>
  <si>
    <t xml:space="preserve">P = b + 2 × y × √(1 + z²)</t>
  </si>
  <si>
    <t xml:space="preserve">7.20</t>
  </si>
  <si>
    <t xml:space="preserve">Radio hidráulico</t>
  </si>
  <si>
    <t xml:space="preserve">R = A ÷ P</t>
  </si>
  <si>
    <t xml:space="preserve">7.21</t>
  </si>
  <si>
    <t xml:space="preserve">Velocidad</t>
  </si>
  <si>
    <t xml:space="preserve">V = (1 ÷ n) × R^(2/3) × S^(1/2)</t>
  </si>
  <si>
    <t xml:space="preserve">m/s</t>
  </si>
  <si>
    <t xml:space="preserve">Ecuación de Manning. Con 1:300 da unos 0,52 m/s, como en la Clase 6.</t>
  </si>
  <si>
    <t xml:space="preserve">7.22</t>
  </si>
  <si>
    <t xml:space="preserve">Caudal que lleva el canal lleno</t>
  </si>
  <si>
    <t xml:space="preserve">Q = V × A × 1.000</t>
  </si>
  <si>
    <t xml:space="preserve">7.23</t>
  </si>
  <si>
    <t xml:space="preserve">Suelo del canal</t>
  </si>
  <si>
    <t xml:space="preserve">Elija en la hoja 1</t>
  </si>
  <si>
    <t xml:space="preserve">7.24</t>
  </si>
  <si>
    <t xml:space="preserve">Velocidad máxima sin erosión para ese suelo</t>
  </si>
  <si>
    <t xml:space="preserve">= BUSCARV(suelo; tabla de la hoja 1; 2; FALSO)</t>
  </si>
  <si>
    <t xml:space="preserve">7.25</t>
  </si>
  <si>
    <t xml:space="preserve">¿Velocidad segura?</t>
  </si>
  <si>
    <t xml:space="preserve">= SI(V ≤ V máx; "Sí"; "No")</t>
  </si>
  <si>
    <t xml:space="preserve">7.26</t>
  </si>
  <si>
    <t xml:space="preserve">Horas de canal lleno para llenar la represa que recibe</t>
  </si>
  <si>
    <t xml:space="preserve">= volumen de la represa ÷ (Q ÷ 1.000) ÷ 3.600</t>
  </si>
  <si>
    <t xml:space="preserve">h</t>
  </si>
  <si>
    <t xml:space="preserve">Da una idea de cuántos aguaceros hacen falta para llenar cada represa.</t>
  </si>
  <si>
    <t xml:space="preserve">7.27</t>
  </si>
  <si>
    <t xml:space="preserve">Cuenca que el canal alcanza a servir en el aguacero de diseño</t>
  </si>
  <si>
    <t xml:space="preserve">= (Q ÷ 1.000) ÷ caudal por hectárea (hoja 6)</t>
  </si>
  <si>
    <t xml:space="preserve">Si la cuenca que intercepta el canal es mayor, agrande la sección o ponga aliviaderos: el exceso no debe desbordar sobre el camino de trabajo.</t>
  </si>
  <si>
    <t xml:space="preserve">Hoja 8 · ¿Llega el agua por gravedad a la casa y a los bebederos?</t>
  </si>
  <si>
    <t xml:space="preserve">Capas 6 (Construcciones) y 7 (Subdivisiones). La casa y los bebederos deben quedar por debajo del nivel del agua de una represa (diap. 41).</t>
  </si>
  <si>
    <t xml:space="preserve">A. Casa nueva del mayordomo (alimentada por la represa oriental)</t>
  </si>
  <si>
    <t xml:space="preserve">8.1</t>
  </si>
  <si>
    <t xml:space="preserve">8.2</t>
  </si>
  <si>
    <t xml:space="preserve">Nivel del agua de la represa oriental llena</t>
  </si>
  <si>
    <t xml:space="preserve">= punto clave oriental</t>
  </si>
  <si>
    <t xml:space="preserve">8.3</t>
  </si>
  <si>
    <t xml:space="preserve">Carga estática con la represa llena</t>
  </si>
  <si>
    <t xml:space="preserve">= nivel del agua − cota de la casa</t>
  </si>
  <si>
    <t xml:space="preserve">Metros de columna de agua sobre la llave de la casa. La nota de la diap. 47 dice 3,4 m: ver hoja 11.</t>
  </si>
  <si>
    <t xml:space="preserve">8.4</t>
  </si>
  <si>
    <t xml:space="preserve">Presión estática</t>
  </si>
  <si>
    <t xml:space="preserve">= carga × 9,81</t>
  </si>
  <si>
    <t xml:space="preserve">kPa</t>
  </si>
  <si>
    <t xml:space="preserve">1 m de columna de agua ≈ 9,81 kPa.</t>
  </si>
  <si>
    <t xml:space="preserve">8.5</t>
  </si>
  <si>
    <t xml:space="preserve">Presión en psi</t>
  </si>
  <si>
    <t xml:space="preserve">= kPa × 0,145</t>
  </si>
  <si>
    <t xml:space="preserve">psi</t>
  </si>
  <si>
    <t xml:space="preserve">Es la unidad de los manómetros de ferretería.</t>
  </si>
  <si>
    <t xml:space="preserve">8.6</t>
  </si>
  <si>
    <t xml:space="preserve">Cota del fondo de la represa oriental</t>
  </si>
  <si>
    <t xml:space="preserve">8.7</t>
  </si>
  <si>
    <t xml:space="preserve">¿Todo el vaso queda por encima de la casa?</t>
  </si>
  <si>
    <t xml:space="preserve">= SI(fondo &gt; casa; "Sí"; "No")</t>
  </si>
  <si>
    <t xml:space="preserve">8.8</t>
  </si>
  <si>
    <t xml:space="preserve">Nivel de la represa oriental al final del verano</t>
  </si>
  <si>
    <t xml:space="preserve">= hoja 5</t>
  </si>
  <si>
    <t xml:space="preserve">8.9</t>
  </si>
  <si>
    <t xml:space="preserve">Carga estática al final del verano</t>
  </si>
  <si>
    <t xml:space="preserve">= nivel al final − cota de la casa</t>
  </si>
  <si>
    <t xml:space="preserve">Es la peor condición: el agua llega con menos presión en marzo.</t>
  </si>
  <si>
    <t xml:space="preserve">B. Pérdida en la tubería (Hazen-Williams): ¿cuánta presión queda en la llave?</t>
  </si>
  <si>
    <t xml:space="preserve">8.10</t>
  </si>
  <si>
    <t xml:space="preserve">Distancia en línea recta casa – muro</t>
  </si>
  <si>
    <t xml:space="preserve">8.11</t>
  </si>
  <si>
    <t xml:space="preserve">Factor de trazado</t>
  </si>
  <si>
    <t xml:space="preserve">8.12</t>
  </si>
  <si>
    <t xml:space="preserve">Longitud de la tubería (L)</t>
  </si>
  <si>
    <t xml:space="preserve">= distancia × factor</t>
  </si>
  <si>
    <t xml:space="preserve">8.13</t>
  </si>
  <si>
    <t xml:space="preserve">Caudal de diseño (Q)</t>
  </si>
  <si>
    <t xml:space="preserve">= L/s ÷ 1.000</t>
  </si>
  <si>
    <t xml:space="preserve">m³/s</t>
  </si>
  <si>
    <t xml:space="preserve">Supuesto de la hoja 1: un grifo abierto.</t>
  </si>
  <si>
    <t xml:space="preserve">8.14</t>
  </si>
  <si>
    <t xml:space="preserve">Diámetro interno (D)</t>
  </si>
  <si>
    <t xml:space="preserve">= mm ÷ 1.000</t>
  </si>
  <si>
    <t xml:space="preserve">8.15</t>
  </si>
  <si>
    <t xml:space="preserve">Coeficiente de Hazen-Williams (C)</t>
  </si>
  <si>
    <t xml:space="preserve">8.16</t>
  </si>
  <si>
    <t xml:space="preserve">Pérdida por fricción (hf)</t>
  </si>
  <si>
    <t xml:space="preserve">hf = 10,67 × L × Q^1,852 ÷ (C^1,852 × D^4,87)</t>
  </si>
  <si>
    <t xml:space="preserve">Fórmula de Hazen-Williams en unidades métricas. Con poca carga, el diámetro decide si el agua llega.</t>
  </si>
  <si>
    <t xml:space="preserve">8.17</t>
  </si>
  <si>
    <t xml:space="preserve">Carga que queda en la llave con la represa llena</t>
  </si>
  <si>
    <t xml:space="preserve">= carga estática − hf</t>
  </si>
  <si>
    <t xml:space="preserve">8.18</t>
  </si>
  <si>
    <t xml:space="preserve">Carga que queda en la llave al final del verano</t>
  </si>
  <si>
    <t xml:space="preserve">= carga al final − hf</t>
  </si>
  <si>
    <t xml:space="preserve">8.19</t>
  </si>
  <si>
    <t xml:space="preserve">¿Llega el agua con ese caudal en el peor momento?</t>
  </si>
  <si>
    <t xml:space="preserve">= SI(carga que queda &gt; 0; "Sí"; "No")</t>
  </si>
  <si>
    <t xml:space="preserve">Diámetro interno (mm)</t>
  </si>
  <si>
    <t xml:space="preserve">Pérdida hf (m)</t>
  </si>
  <si>
    <t xml:space="preserve">Carga al final del verano (m)</t>
  </si>
  <si>
    <t xml:space="preserve">mismo cálculo del paso 8.16 con otro diámetro</t>
  </si>
  <si>
    <t xml:space="preserve">Pasar de 20 a 32 mm reduce la pérdida unas diez veces: con carga baja, el diámetro es la palanca.</t>
  </si>
  <si>
    <t xml:space="preserve">C. Bebederos por gravedad (cuadros azules del plano)</t>
  </si>
  <si>
    <t xml:space="preserve">Código</t>
  </si>
  <si>
    <t xml:space="preserve">Potrero y ubicación en el plano</t>
  </si>
  <si>
    <t xml:space="preserve">Represa que lo alimenta</t>
  </si>
  <si>
    <t xml:space="preserve">Nivel del agua (m)</t>
  </si>
  <si>
    <t xml:space="preserve">Cota del bebedero ≈ (m)</t>
  </si>
  <si>
    <t xml:space="preserve">Carga (m)</t>
  </si>
  <si>
    <t xml:space="preserve">¿Agua por gravedad?</t>
  </si>
  <si>
    <t xml:space="preserve">Tubería (m)</t>
  </si>
  <si>
    <t xml:space="preserve">B1</t>
  </si>
  <si>
    <t xml:space="preserve">P5 · banda media, entre el canal occidental y la curva 390</t>
  </si>
  <si>
    <t xml:space="preserve">B2</t>
  </si>
  <si>
    <t xml:space="preserve">P2 · banda baja, bajo la represa occidental, junto a la curva 380</t>
  </si>
  <si>
    <t xml:space="preserve">B3</t>
  </si>
  <si>
    <t xml:space="preserve">P3 · banda baja, bajo la represa oriental, entre las curvas 375 y 380</t>
  </si>
  <si>
    <t xml:space="preserve">B4</t>
  </si>
  <si>
    <t xml:space="preserve">P4 · banda baja, justo debajo de la franja de la línea clave</t>
  </si>
  <si>
    <t xml:space="preserve">Las cotas de los bebederos son lecturas aproximadas sobre las curvas del plano (±1 m): confírmelas en QGIS. La de B1 no cambia la conclusión: queda por encima del canal y de la franja de la línea clave.</t>
  </si>
  <si>
    <t xml:space="preserve">Pregunta para el taller: ¿dónde pondría B1 para que reciba agua de la occidental y sirva a la vez a P1 y P5?</t>
  </si>
  <si>
    <t xml:space="preserve">Hoja 9 · Franjas de árboles, cacao con sombrío y ronda del caño</t>
  </si>
  <si>
    <t xml:space="preserve">Capa 5 (Árboles). ¿Cada cuántos metros de desnivel quedan las franjas? ¿Cuánto cacao cabe entre ellas? (diap. 46).</t>
  </si>
  <si>
    <t xml:space="preserve">A. Franjas de árboles a nivel</t>
  </si>
  <si>
    <t xml:space="preserve">Valle occidental</t>
  </si>
  <si>
    <t xml:space="preserve">Valle oriental</t>
  </si>
  <si>
    <t xml:space="preserve">9.1</t>
  </si>
  <si>
    <t xml:space="preserve">Cota de la primera franja (línea clave)</t>
  </si>
  <si>
    <t xml:space="preserve">La primera franja se marca en campo sobre la línea clave, con estacas (diap. 40).</t>
  </si>
  <si>
    <t xml:space="preserve">9.2</t>
  </si>
  <si>
    <t xml:space="preserve">Intervalo vertical entre franjas</t>
  </si>
  <si>
    <t xml:space="preserve">9.3</t>
  </si>
  <si>
    <t xml:space="preserve">Cota de la segunda franja</t>
  </si>
  <si>
    <t xml:space="preserve">= línea clave + intervalo</t>
  </si>
  <si>
    <t xml:space="preserve">9.4</t>
  </si>
  <si>
    <t xml:space="preserve">Altura de árbol que supone ese intervalo</t>
  </si>
  <si>
    <t xml:space="preserve">Regla de Yeomans: intervalo = altura del árbol + desnivel de la franja → altura = intervalo − desnivel</t>
  </si>
  <si>
    <t xml:space="preserve">Con una franja que ocupa 3 m de desnivel, el intervalo de 12 m sirve para árboles de unos 9 m. Si los árboles son más altos, el intervalo crece.</t>
  </si>
  <si>
    <t xml:space="preserve">9.5</t>
  </si>
  <si>
    <t xml:space="preserve">Distancia entre franjas medida en el eje del lomo central</t>
  </si>
  <si>
    <t xml:space="preserve">9.6</t>
  </si>
  <si>
    <t xml:space="preserve">Pendiente media de la ladera entre las franjas</t>
  </si>
  <si>
    <t xml:space="preserve">= intervalo ÷ distancia en planta</t>
  </si>
  <si>
    <t xml:space="preserve">Terreno ondulado: 3 a 12 % (diap. 25).</t>
  </si>
  <si>
    <t xml:space="preserve">Pendiente de la ladera</t>
  </si>
  <si>
    <t xml:space="preserve">Separación en planta (m)</t>
  </si>
  <si>
    <t xml:space="preserve">= intervalo vertical ÷ pendiente</t>
  </si>
  <si>
    <t xml:space="preserve">El mismo intervalo vertical deja las franjas más juntas en la ladera fuerte y más separadas en lo plano (diap. 40).</t>
  </si>
  <si>
    <t xml:space="preserve">B. Cacao con sombrío: área por coordenadas (fórmula de Gauss, «del zapatero»)</t>
  </si>
  <si>
    <t xml:space="preserve">Se recorren los vértices del polígono en orden. Área = |Σ (Xi × Yi+1 − Xi+1 × Yi)| ÷ 2. El último vértice se une con el primero.</t>
  </si>
  <si>
    <t xml:space="preserve">Origen x0: lindero occidental (px)</t>
  </si>
  <si>
    <t xml:space="preserve">Origen y0: lindero sur (px)</t>
  </si>
  <si>
    <t xml:space="preserve">x plano (px)</t>
  </si>
  <si>
    <t xml:space="preserve">y plano (px)</t>
  </si>
  <si>
    <t xml:space="preserve">X (m) = (x − x0) × s</t>
  </si>
  <si>
    <t xml:space="preserve">Y (m) = (y0 − y) × s</t>
  </si>
  <si>
    <t xml:space="preserve">Xi × Yi+1 − Xi+1 × Yi (m²)</t>
  </si>
  <si>
    <t xml:space="preserve">Esquina noroeste, en la franja superior</t>
  </si>
  <si>
    <t xml:space="preserve">Punto más bajo de la franja superior</t>
  </si>
  <si>
    <t xml:space="preserve">Esquina noreste</t>
  </si>
  <si>
    <t xml:space="preserve">Borde oriental, junto a la represa oriental</t>
  </si>
  <si>
    <t xml:space="preserve">V10</t>
  </si>
  <si>
    <t xml:space="preserve">V11</t>
  </si>
  <si>
    <t xml:space="preserve">V12</t>
  </si>
  <si>
    <t xml:space="preserve">Franja de la línea clave</t>
  </si>
  <si>
    <t xml:space="preserve">V13</t>
  </si>
  <si>
    <t xml:space="preserve">V14</t>
  </si>
  <si>
    <t xml:space="preserve">V15</t>
  </si>
  <si>
    <t xml:space="preserve">V16</t>
  </si>
  <si>
    <t xml:space="preserve">Borde occidental, junto a la represa occidental</t>
  </si>
  <si>
    <t xml:space="preserve">9.7</t>
  </si>
  <si>
    <t xml:space="preserve">Área del cacao</t>
  </si>
  <si>
    <t xml:space="preserve">= |suma de la última columna| ÷ 2 ÷ 10.000</t>
  </si>
  <si>
    <t xml:space="preserve">Lo mismo hace QGIS al calcular el área de un polígono.</t>
  </si>
  <si>
    <t xml:space="preserve">9.8</t>
  </si>
  <si>
    <t xml:space="preserve">Parte de lo que quería el dueño</t>
  </si>
  <si>
    <t xml:space="preserve">= área ÷ 2 ha</t>
  </si>
  <si>
    <t xml:space="preserve">El dueño pidió unas 2 ha; entre las franjas caben unas 1,8 ha.</t>
  </si>
  <si>
    <t xml:space="preserve">9.9</t>
  </si>
  <si>
    <t xml:space="preserve">Plantas por hectárea</t>
  </si>
  <si>
    <t xml:space="preserve">= 10.000 ÷ (distancia × distancia)</t>
  </si>
  <si>
    <t xml:space="preserve">plantas/ha</t>
  </si>
  <si>
    <t xml:space="preserve">Supuesto de 3 × 3 m (hoja 1).</t>
  </si>
  <si>
    <t xml:space="preserve">9.10</t>
  </si>
  <si>
    <t xml:space="preserve">Plantas de cacao para comprar</t>
  </si>
  <si>
    <t xml:space="preserve">= área × plantas por ha</t>
  </si>
  <si>
    <t xml:space="preserve">plantas</t>
  </si>
  <si>
    <t xml:space="preserve">Sume entre 5 y 10 % para resiembra.</t>
  </si>
  <si>
    <t xml:space="preserve">C. Ronda del caño y área de las franjas</t>
  </si>
  <si>
    <t xml:space="preserve">9.11</t>
  </si>
  <si>
    <t xml:space="preserve">Ancho de la ronda</t>
  </si>
  <si>
    <t xml:space="preserve">Dato (diap. 41 y 47)</t>
  </si>
  <si>
    <t xml:space="preserve">Faja paralela al cauce de hasta 30 m (Decreto-Ley 2811 de 1974, art. 83). La delimita la CAR. La casa vieja queda dentro.</t>
  </si>
  <si>
    <t xml:space="preserve">9.12</t>
  </si>
  <si>
    <t xml:space="preserve">Ancho de la ronda tal como está dibujada</t>
  </si>
  <si>
    <t xml:space="preserve">El dibujo es esquemático: se diseña con el dato.</t>
  </si>
  <si>
    <t xml:space="preserve">9.13</t>
  </si>
  <si>
    <t xml:space="preserve">Longitud del caño dentro del predio</t>
  </si>
  <si>
    <t xml:space="preserve">9.14</t>
  </si>
  <si>
    <t xml:space="preserve">Área de la ronda</t>
  </si>
  <si>
    <t xml:space="preserve">= longitud × ancho ÷ 10.000</t>
  </si>
  <si>
    <t xml:space="preserve">Es área que se cerca y se deja para el bosque de galería: se resta del pastoreo.</t>
  </si>
  <si>
    <t xml:space="preserve">9.15</t>
  </si>
  <si>
    <t xml:space="preserve">Longitud total de las dos franjas</t>
  </si>
  <si>
    <t xml:space="preserve">Estimada en el plano (hoja 2)</t>
  </si>
  <si>
    <t xml:space="preserve">9.16</t>
  </si>
  <si>
    <t xml:space="preserve">Área de las franjas</t>
  </si>
  <si>
    <t xml:space="preserve">= longitud × ancho de la franja ÷ 10.000</t>
  </si>
  <si>
    <t xml:space="preserve">Con el ancho supuesto de la hoja 1.</t>
  </si>
  <si>
    <t xml:space="preserve">Hoja 10 · Doce potreros: área, carga y rotación</t>
  </si>
  <si>
    <t xml:space="preserve">Capa 7 (Subdivisiones). Los 12 potreros salen de tres bandas (debajo de la línea clave, entre franjas y arriba) por cuatro columnas separadas por cercas sobre los lomos.</t>
  </si>
  <si>
    <t xml:space="preserve">A. ¿Cuánta tierra queda para pastorear?</t>
  </si>
  <si>
    <t xml:space="preserve">Uso del suelo</t>
  </si>
  <si>
    <t xml:space="preserve">De dónde sale</t>
  </si>
  <si>
    <t xml:space="preserve">Área (ha)</t>
  </si>
  <si>
    <t xml:space="preserve">10.1</t>
  </si>
  <si>
    <t xml:space="preserve">Dato del caso (hoja 1)</t>
  </si>
  <si>
    <t xml:space="preserve">10.2</t>
  </si>
  <si>
    <t xml:space="preserve">Espejos de agua de las dos represas</t>
  </si>
  <si>
    <t xml:space="preserve">= (espejo occidental + espejo oriental) ÷ 10.000</t>
  </si>
  <si>
    <t xml:space="preserve">Se ignoran los muros.</t>
  </si>
  <si>
    <t xml:space="preserve">10.3</t>
  </si>
  <si>
    <t xml:space="preserve">Cacao con sombrío</t>
  </si>
  <si>
    <t xml:space="preserve">Hoja 9, paso 9.7</t>
  </si>
  <si>
    <t xml:space="preserve">10.4</t>
  </si>
  <si>
    <t xml:space="preserve">Ronda del caño</t>
  </si>
  <si>
    <t xml:space="preserve">Hoja 9, paso 9.14</t>
  </si>
  <si>
    <t xml:space="preserve">10.5</t>
  </si>
  <si>
    <t xml:space="preserve">Franjas de árboles</t>
  </si>
  <si>
    <t xml:space="preserve">Hoja 9, paso 9.16</t>
  </si>
  <si>
    <t xml:space="preserve">El ganado puede sombrear en ellas, pero no se cuentan como pasto.</t>
  </si>
  <si>
    <t xml:space="preserve">10.6</t>
  </si>
  <si>
    <t xml:space="preserve">Caminos</t>
  </si>
  <si>
    <t xml:space="preserve">= (principal + lomo primario + trabajo) × ancho ÷ 10.000</t>
  </si>
  <si>
    <t xml:space="preserve">Longitudes de la hoja 2, ancho supuesto.</t>
  </si>
  <si>
    <t xml:space="preserve">10.7</t>
  </si>
  <si>
    <t xml:space="preserve">10.8</t>
  </si>
  <si>
    <t xml:space="preserve">Área de pastoreo</t>
  </si>
  <si>
    <t xml:space="preserve">= predio − todos los demás usos</t>
  </si>
  <si>
    <t xml:space="preserve">En QGIS cada potrero tendrá su área exacta (Módulo 3). Aquí es un balance de primer orden.</t>
  </si>
  <si>
    <t xml:space="preserve">B. Potreros y rotación</t>
  </si>
  <si>
    <t xml:space="preserve">10.9</t>
  </si>
  <si>
    <t xml:space="preserve">Área media por potrero</t>
  </si>
  <si>
    <t xml:space="preserve">= área de pastoreo ÷ 12</t>
  </si>
  <si>
    <t xml:space="preserve">Los potreros de las columnas de los extremos son más angostos que los del centro.</t>
  </si>
  <si>
    <t xml:space="preserve">10.10</t>
  </si>
  <si>
    <t xml:space="preserve">Carga animal promedio</t>
  </si>
  <si>
    <t xml:space="preserve">= reses ÷ área de pastoreo</t>
  </si>
  <si>
    <t xml:space="preserve">reses/ha</t>
  </si>
  <si>
    <t xml:space="preserve">10.11</t>
  </si>
  <si>
    <t xml:space="preserve">10.12</t>
  </si>
  <si>
    <t xml:space="preserve">Días de ocupación de cada potrero</t>
  </si>
  <si>
    <t xml:space="preserve">= descanso ÷ (potreros − 1)</t>
  </si>
  <si>
    <t xml:space="preserve">Mientras un potrero se pastorea, los otros 11 descansan.</t>
  </si>
  <si>
    <t xml:space="preserve">10.13</t>
  </si>
  <si>
    <t xml:space="preserve">Duración de una vuelta completa</t>
  </si>
  <si>
    <t xml:space="preserve">= ocupación × potreros</t>
  </si>
  <si>
    <t xml:space="preserve">10.14</t>
  </si>
  <si>
    <t xml:space="preserve">Reses por hectárea en el potrero ocupado</t>
  </si>
  <si>
    <t xml:space="preserve">= reses ÷ área media por potrero</t>
  </si>
  <si>
    <t xml:space="preserve">Más subdivisión → más reses por hectárea en el potrero ocupado y más descanso para los demás.</t>
  </si>
  <si>
    <t xml:space="preserve">C. ¿Qué potreros pueden recibir agua por gravedad?</t>
  </si>
  <si>
    <t xml:space="preserve">Banda</t>
  </si>
  <si>
    <t xml:space="preserve">Potreros</t>
  </si>
  <si>
    <t xml:space="preserve">Cota más baja ≈ (m)</t>
  </si>
  <si>
    <t xml:space="preserve">Cota más alta ≈ (m)</t>
  </si>
  <si>
    <t xml:space="preserve">Carga máx. (m)</t>
  </si>
  <si>
    <t xml:space="preserve">Debajo de la línea clave</t>
  </si>
  <si>
    <t xml:space="preserve">P1, P2, P3, P4</t>
  </si>
  <si>
    <t xml:space="preserve">Entre las dos franjas</t>
  </si>
  <si>
    <t xml:space="preserve">P5, P6, P7, P8</t>
  </si>
  <si>
    <t xml:space="preserve">Encima de la segunda franja</t>
  </si>
  <si>
    <t xml:space="preserve">P9, P10, P11, P12</t>
  </si>
  <si>
    <t xml:space="preserve">Carga máxima = nivel del agua más alto (387,7 m) − cota más baja de la banda. Las franjas siguen la línea clave de cada valle, por eso los límites cambian un metro de un valle al otro.</t>
  </si>
  <si>
    <t xml:space="preserve">Potrero</t>
  </si>
  <si>
    <t xml:space="preserve">Columna (de oeste a este)</t>
  </si>
  <si>
    <t xml:space="preserve">Bebedero en el plano</t>
  </si>
  <si>
    <t xml:space="preserve">Agua por gravedad</t>
  </si>
  <si>
    <t xml:space="preserve">P1</t>
  </si>
  <si>
    <t xml:space="preserve">Baja</t>
  </si>
  <si>
    <t xml:space="preserve">P2</t>
  </si>
  <si>
    <t xml:space="preserve">P3</t>
  </si>
  <si>
    <t xml:space="preserve">P4</t>
  </si>
  <si>
    <t xml:space="preserve">P5</t>
  </si>
  <si>
    <t xml:space="preserve">Media</t>
  </si>
  <si>
    <t xml:space="preserve">P6</t>
  </si>
  <si>
    <t xml:space="preserve">P7</t>
  </si>
  <si>
    <t xml:space="preserve">P8</t>
  </si>
  <si>
    <t xml:space="preserve">P9</t>
  </si>
  <si>
    <t xml:space="preserve">Alta</t>
  </si>
  <si>
    <t xml:space="preserve">P10</t>
  </si>
  <si>
    <t xml:space="preserve">P11</t>
  </si>
  <si>
    <t xml:space="preserve">P12</t>
  </si>
  <si>
    <t xml:space="preserve">Pregunta para el taller: P1 queda bajo el agua pero no tiene bebedero en el plano, y P6 a P12 quedan por encima. ¿Cómo les llevaría agua? (bebedero compartido en la cerca, callejón hacia la banda baja, bombeo o ariete).</t>
  </si>
  <si>
    <t xml:space="preserve">Hoja 11 · ¿Cuadran las cifras con la diapositiva 47?</t>
  </si>
  <si>
    <t xml:space="preserve">Compara cada cifra de la diapositiva con lo que calcula este libro y responde las preguntas de «Control con números» (diap. 46).</t>
  </si>
  <si>
    <t xml:space="preserve">A. Cifras de la diapositiva frente al cálculo</t>
  </si>
  <si>
    <t xml:space="preserve">N°</t>
  </si>
  <si>
    <t xml:space="preserve">Concepto</t>
  </si>
  <si>
    <t xml:space="preserve">Diapositiva</t>
  </si>
  <si>
    <t xml:space="preserve">Calculado</t>
  </si>
  <si>
    <t xml:space="preserve">Diferencia</t>
  </si>
  <si>
    <t xml:space="preserve">Estado</t>
  </si>
  <si>
    <t xml:space="preserve">Comentario</t>
  </si>
  <si>
    <t xml:space="preserve">Volumen de la represa occidental (m³)</t>
  </si>
  <si>
    <t xml:space="preserve">Prismoide de la hoja 3 con el área media estimada.</t>
  </si>
  <si>
    <t xml:space="preserve">Volumen de la represa oriental (m³)</t>
  </si>
  <si>
    <t xml:space="preserve">Evaporación de cada espejo en 120 días (m³)</t>
  </si>
  <si>
    <t xml:space="preserve">5 mm/día × 120 días × 5.700 m².</t>
  </si>
  <si>
    <t xml:space="preserve">Consumo de las 40 reses en el verano (m³)</t>
  </si>
  <si>
    <t xml:space="preserve">40 reses × 50 L/día × 120 días.</t>
  </si>
  <si>
    <t xml:space="preserve">Evaporación + infiltración del espejo (m³)</t>
  </si>
  <si>
    <t xml:space="preserve">Medido por polilínea en la hoja 2.</t>
  </si>
  <si>
    <t xml:space="preserve">Canal de vertedero a vertedero (m)</t>
  </si>
  <si>
    <t xml:space="preserve">Desnivel entre el agua de la represa oriental y la casa nueva (m)</t>
  </si>
  <si>
    <t xml:space="preserve">Cacao con sombrío (ha)</t>
  </si>
  <si>
    <t xml:space="preserve">Polígono de la hoja 9, leído sobre la imagen.</t>
  </si>
  <si>
    <t xml:space="preserve">Área del predio (ha)</t>
  </si>
  <si>
    <t xml:space="preserve">Rectángulo medido con la escala gráfica (hoja 2). La diapositiva 44 dice 35 ha.</t>
  </si>
  <si>
    <t xml:space="preserve">B. Control con números (diapositiva 46): las respuestas del diseño de referencia</t>
  </si>
  <si>
    <t xml:space="preserve">Pregunta</t>
  </si>
  <si>
    <t xml:space="preserve">Respuesta (se actualiza sola)</t>
  </si>
  <si>
    <t xml:space="preserve">AGUA · ¿Cuánto guarda cada represa y cuánto evapora su espejo en 120 días?
→ Hojas 3 y 4</t>
  </si>
  <si>
    <t xml:space="preserve">AGUA · ¿A qué cota está el vertedero y a dónde va el rebose?
→ Hojas 6 y 7</t>
  </si>
  <si>
    <t xml:space="preserve">CAMINOS · ¿Cuántas veces cruza su camino un canal o un valle?
→ Plano (diap. 47)</t>
  </si>
  <si>
    <t xml:space="preserve">Lectura del plano: el camino del lomo primario cruza una vez el canal de vertedero a vertedero, en la punta del lomo central, para llegar a la casa. El camino de trabajo va bajo el canal sin cruzarlo. Ningún camino cruza un valle.</t>
  </si>
  <si>
    <t xml:space="preserve">ÁRBOLES · ¿Cada cuántos metros de desnivel quedan las franjas?
→ Hoja 9</t>
  </si>
  <si>
    <t xml:space="preserve">CONSTRUCCIONES · ¿La casa queda por debajo del agua de algún reservorio?
→ Hojas 5 y 8</t>
  </si>
  <si>
    <t xml:space="preserve">POTREROS · ¿Qué potreros reciben agua por gravedad y cuáles no?
→ Hojas 8 y 10</t>
  </si>
</sst>
</file>

<file path=xl/styles.xml><?xml version="1.0" encoding="utf-8"?>
<styleSheet xmlns="http://schemas.openxmlformats.org/spreadsheetml/2006/main">
  <numFmts count="10">
    <numFmt numFmtId="164" formatCode="General"/>
    <numFmt numFmtId="165" formatCode="0.0%"/>
    <numFmt numFmtId="166" formatCode="0.00"/>
    <numFmt numFmtId="167" formatCode="0.0"/>
    <numFmt numFmtId="168" formatCode="0"/>
    <numFmt numFmtId="169" formatCode="0.000"/>
    <numFmt numFmtId="170" formatCode="#,##0"/>
    <numFmt numFmtId="171" formatCode="0%"/>
    <numFmt numFmtId="172" formatCode="0.00000"/>
    <numFmt numFmtId="173" formatCode="0.0000"/>
  </numFmts>
  <fonts count="26">
    <font>
      <sz val="11"/>
      <color theme="1"/>
      <name val="Calibri"/>
      <family val="2"/>
      <charset val="1"/>
    </font>
    <font>
      <sz val="10"/>
      <name val="Arial"/>
      <family val="0"/>
    </font>
    <font>
      <sz val="10"/>
      <name val="Arial"/>
      <family val="0"/>
    </font>
    <font>
      <sz val="10"/>
      <name val="Arial"/>
      <family val="0"/>
    </font>
    <font>
      <b val="true"/>
      <sz val="16"/>
      <color rgb="FF14342B"/>
      <name val="Arial"/>
      <family val="0"/>
      <charset val="1"/>
    </font>
    <font>
      <i val="true"/>
      <sz val="10"/>
      <color rgb="FF5F6B64"/>
      <name val="Arial"/>
      <family val="0"/>
      <charset val="1"/>
    </font>
    <font>
      <sz val="9"/>
      <color rgb="FF5F6B64"/>
      <name val="Arial"/>
      <family val="0"/>
      <charset val="1"/>
    </font>
    <font>
      <b val="true"/>
      <sz val="11"/>
      <color rgb="FF14342B"/>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sz val="11"/>
      <color rgb="FF006100"/>
      <name val="Arial"/>
      <family val="0"/>
      <charset val="1"/>
    </font>
    <font>
      <b val="true"/>
      <sz val="10"/>
      <color rgb="FFFFFFFF"/>
      <name val="Arial"/>
      <family val="0"/>
      <charset val="1"/>
    </font>
    <font>
      <b val="true"/>
      <u val="single"/>
      <sz val="10"/>
      <color rgb="FF0563C1"/>
      <name val="Arial"/>
      <family val="0"/>
      <charset val="1"/>
    </font>
    <font>
      <sz val="9"/>
      <color rgb="FF000000"/>
      <name val="Arial"/>
      <family val="0"/>
      <charset val="1"/>
    </font>
    <font>
      <b val="true"/>
      <sz val="15"/>
      <color rgb="FF14342B"/>
      <name val="Arial"/>
      <family val="0"/>
      <charset val="1"/>
    </font>
    <font>
      <b val="true"/>
      <sz val="10"/>
      <color rgb="FFC1622F"/>
      <name val="Arial"/>
      <family val="0"/>
      <charset val="1"/>
    </font>
    <font>
      <i val="true"/>
      <sz val="10"/>
      <color rgb="FF3A4440"/>
      <name val="Arial"/>
      <family val="0"/>
      <charset val="1"/>
    </font>
    <font>
      <i val="true"/>
      <sz val="10"/>
      <color rgb="FF000000"/>
      <name val="Arial"/>
      <family val="0"/>
      <charset val="1"/>
    </font>
    <font>
      <sz val="10"/>
      <color rgb="FF3A4440"/>
      <name val="Arial"/>
      <family val="0"/>
      <charset val="1"/>
    </font>
    <font>
      <sz val="10"/>
      <color rgb="FF5F6B64"/>
      <name val="Arial"/>
      <family val="0"/>
      <charset val="1"/>
    </font>
    <font>
      <b val="true"/>
      <sz val="10"/>
      <color rgb="FF1F6E8C"/>
      <name val="Arial"/>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D9E4DC"/>
        <bgColor rgb="FFE7E6E6"/>
      </patternFill>
    </fill>
    <fill>
      <patternFill patternType="solid">
        <fgColor rgb="FFDDEBF7"/>
        <bgColor rgb="FFE7E6E6"/>
      </patternFill>
    </fill>
    <fill>
      <patternFill patternType="solid">
        <fgColor rgb="FFE2EFDA"/>
        <bgColor rgb="FFE7E6E6"/>
      </patternFill>
    </fill>
    <fill>
      <patternFill patternType="solid">
        <fgColor rgb="FFFCE4D6"/>
        <bgColor rgb="FFFFF2CC"/>
      </patternFill>
    </fill>
    <fill>
      <patternFill patternType="solid">
        <fgColor rgb="FFFFF2CC"/>
        <bgColor rgb="FFFCE4D6"/>
      </patternFill>
    </fill>
    <fill>
      <patternFill patternType="solid">
        <fgColor rgb="FFE7E6E6"/>
        <bgColor rgb="FFE2EFDA"/>
      </patternFill>
    </fill>
    <fill>
      <patternFill patternType="solid">
        <fgColor rgb="FFC6EFCE"/>
        <bgColor rgb="FFD9E4DC"/>
      </patternFill>
    </fill>
    <fill>
      <patternFill patternType="solid">
        <fgColor rgb="FF14342B"/>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1" fillId="7" borderId="1" xfId="0" applyFont="true" applyBorder="true" applyAlignment="true" applyProtection="false">
      <alignment horizontal="center" vertical="top" textRotation="0" wrapText="false" indent="0" shrinkToFit="false"/>
      <protection locked="true" hidden="false"/>
    </xf>
    <xf numFmtId="164" fontId="12" fillId="8"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5" fontId="9" fillId="5" borderId="1" xfId="0" applyFont="true" applyBorder="true" applyAlignment="true" applyProtection="false">
      <alignment horizontal="general" vertical="top" textRotation="0" wrapText="false" indent="0" shrinkToFit="false"/>
      <protection locked="true" hidden="false"/>
    </xf>
    <xf numFmtId="166" fontId="9" fillId="3" borderId="1" xfId="0" applyFont="true" applyBorder="tru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center"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69" fontId="11" fillId="7" borderId="1" xfId="0" applyFont="true" applyBorder="true" applyAlignment="true" applyProtection="false">
      <alignment horizontal="general" vertical="top" textRotation="0" wrapText="false" indent="0" shrinkToFit="false"/>
      <protection locked="true" hidden="false"/>
    </xf>
    <xf numFmtId="167" fontId="9" fillId="4"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7" fontId="11" fillId="7"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70" fontId="11" fillId="7" borderId="1" xfId="0" applyFont="true" applyBorder="tru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70" fontId="8" fillId="6"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7" fontId="9" fillId="5" borderId="1" xfId="0" applyFont="true" applyBorder="tru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general" vertical="top" textRotation="0" wrapText="false" indent="0" shrinkToFit="false"/>
      <protection locked="true" hidden="false"/>
    </xf>
    <xf numFmtId="166" fontId="11" fillId="7" borderId="1" xfId="0" applyFont="true" applyBorder="tru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center"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8" fontId="9" fillId="5" borderId="1" xfId="0" applyFont="true" applyBorder="true" applyAlignment="true" applyProtection="false">
      <alignment horizontal="general" vertical="top" textRotation="0" wrapText="fals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false" indent="0" shrinkToFit="false"/>
      <protection locked="true" hidden="false"/>
    </xf>
    <xf numFmtId="168" fontId="11" fillId="7"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73"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center" vertical="top" textRotation="0" wrapText="false" indent="0" shrinkToFit="false"/>
      <protection locked="true" hidden="false"/>
    </xf>
    <xf numFmtId="171" fontId="9" fillId="5" borderId="1" xfId="0" applyFont="true" applyBorder="true" applyAlignment="true" applyProtection="false">
      <alignment horizontal="general" vertical="top" textRotation="0" wrapText="false" indent="0" shrinkToFit="false"/>
      <protection locked="true" hidden="false"/>
    </xf>
    <xf numFmtId="170" fontId="9" fillId="3" borderId="1" xfId="0" applyFont="true" applyBorder="true" applyAlignment="true" applyProtection="false">
      <alignment horizontal="general" vertical="top" textRotation="0" wrapText="false" indent="0" shrinkToFit="false"/>
      <protection locked="true" hidden="false"/>
    </xf>
    <xf numFmtId="167" fontId="9" fillId="3"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F6E8C"/>
      <rgbColor rgb="FFBFBFBF"/>
      <rgbColor rgb="FF878787"/>
      <rgbColor rgb="FF9999FF"/>
      <rgbColor rgb="FFBE4B48"/>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4DC"/>
      <rgbColor rgb="FFFCE4D6"/>
      <rgbColor rgb="FFE7E6E6"/>
      <rgbColor rgb="FFFFC7CE"/>
      <rgbColor rgb="FF4A7EBB"/>
      <rgbColor rgb="FF33CCCC"/>
      <rgbColor rgb="FF99CC00"/>
      <rgbColor rgb="FFFFCC00"/>
      <rgbColor rgb="FFFF9900"/>
      <rgbColor rgb="FFC1622F"/>
      <rgbColor rgb="FF5F6B64"/>
      <rgbColor rgb="FF969696"/>
      <rgbColor rgb="FF003366"/>
      <rgbColor rgb="FF339966"/>
      <rgbColor rgb="FF14342B"/>
      <rgbColor rgb="FF006100"/>
      <rgbColor rgb="FF9C5700"/>
      <rgbColor rgb="FF993366"/>
      <rgbColor rgb="FF333399"/>
      <rgbColor rgb="FF3A4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Volumen en la represa durante el verano</a:t>
            </a:r>
          </a:p>
        </c:rich>
      </c:tx>
      <c:overlay val="0"/>
      <c:spPr>
        <a:noFill/>
        <a:ln w="0">
          <a:noFill/>
        </a:ln>
      </c:spPr>
    </c:title>
    <c:autoTitleDeleted val="0"/>
    <c:plotArea>
      <c:lineChart>
        <c:grouping val="standard"/>
        <c:varyColors val="0"/>
        <c:ser>
          <c:idx val="0"/>
          <c:order val="0"/>
          <c:tx>
            <c:strRef>
              <c:f>"Occidental"</c:f>
              <c:strCache>
                <c:ptCount val="1"/>
                <c:pt idx="0">
                  <c:v>Occidental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Simulación 120 días'!$B$23:$B$143</c:f>
              <c:strCach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strCache>
            </c:strRef>
          </c:cat>
          <c:val>
            <c:numRef>
              <c:f>'5 Simulación 120 días'!$C$23:$C$143</c:f>
              <c:numCache>
                <c:formatCode>#,##0</c:formatCode>
                <c:ptCount val="121"/>
                <c:pt idx="0">
                  <c:v>7600</c:v>
                </c:pt>
                <c:pt idx="1">
                  <c:v>7563.8</c:v>
                </c:pt>
                <c:pt idx="2">
                  <c:v>7527.69717544441</c:v>
                </c:pt>
                <c:pt idx="3">
                  <c:v>7491.69145280984</c:v>
                </c:pt>
                <c:pt idx="4">
                  <c:v>7455.78275851648</c:v>
                </c:pt>
                <c:pt idx="5">
                  <c:v>7419.97101892797</c:v>
                </c:pt>
                <c:pt idx="6">
                  <c:v>7384.25616035129</c:v>
                </c:pt>
                <c:pt idx="7">
                  <c:v>7348.63810903674</c:v>
                </c:pt>
                <c:pt idx="8">
                  <c:v>7313.11679117775</c:v>
                </c:pt>
                <c:pt idx="9">
                  <c:v>7277.69213291085</c:v>
                </c:pt>
                <c:pt idx="10">
                  <c:v>7242.36406031556</c:v>
                </c:pt>
                <c:pt idx="11">
                  <c:v>7207.13249941427</c:v>
                </c:pt>
                <c:pt idx="12">
                  <c:v>7171.99737617219</c:v>
                </c:pt>
                <c:pt idx="13">
                  <c:v>7136.95861649721</c:v>
                </c:pt>
                <c:pt idx="14">
                  <c:v>7102.01614623984</c:v>
                </c:pt>
                <c:pt idx="15">
                  <c:v>7067.16989119307</c:v>
                </c:pt>
                <c:pt idx="16">
                  <c:v>7032.41977709236</c:v>
                </c:pt>
                <c:pt idx="17">
                  <c:v>6997.76572961543</c:v>
                </c:pt>
                <c:pt idx="18">
                  <c:v>6963.20767438227</c:v>
                </c:pt>
                <c:pt idx="19">
                  <c:v>6928.74553695499</c:v>
                </c:pt>
                <c:pt idx="20">
                  <c:v>6894.37924283774</c:v>
                </c:pt>
                <c:pt idx="21">
                  <c:v>6860.10871747659</c:v>
                </c:pt>
                <c:pt idx="22">
                  <c:v>6825.9338862595</c:v>
                </c:pt>
                <c:pt idx="23">
                  <c:v>6791.85467451615</c:v>
                </c:pt>
                <c:pt idx="24">
                  <c:v>6757.87100751791</c:v>
                </c:pt>
                <c:pt idx="25">
                  <c:v>6723.98281047771</c:v>
                </c:pt>
                <c:pt idx="26">
                  <c:v>6690.19000854994</c:v>
                </c:pt>
                <c:pt idx="27">
                  <c:v>6656.49252683039</c:v>
                </c:pt>
                <c:pt idx="28">
                  <c:v>6622.89029035613</c:v>
                </c:pt>
                <c:pt idx="29">
                  <c:v>6589.38322410543</c:v>
                </c:pt>
                <c:pt idx="30">
                  <c:v>6555.97125299767</c:v>
                </c:pt>
                <c:pt idx="31">
                  <c:v>6522.65430189322</c:v>
                </c:pt>
                <c:pt idx="32">
                  <c:v>6489.43229559338</c:v>
                </c:pt>
                <c:pt idx="33">
                  <c:v>6456.30515884029</c:v>
                </c:pt>
                <c:pt idx="34">
                  <c:v>6423.2728163168</c:v>
                </c:pt>
                <c:pt idx="35">
                  <c:v>6390.33519264642</c:v>
                </c:pt>
                <c:pt idx="36">
                  <c:v>6357.49221239319</c:v>
                </c:pt>
                <c:pt idx="37">
                  <c:v>6324.74380006164</c:v>
                </c:pt>
                <c:pt idx="38">
                  <c:v>6292.08988009665</c:v>
                </c:pt>
                <c:pt idx="39">
                  <c:v>6259.53037688337</c:v>
                </c:pt>
                <c:pt idx="40">
                  <c:v>6227.06521474716</c:v>
                </c:pt>
                <c:pt idx="41">
                  <c:v>6194.69431795346</c:v>
                </c:pt>
                <c:pt idx="42">
                  <c:v>6162.41761070773</c:v>
                </c:pt>
                <c:pt idx="43">
                  <c:v>6130.23501715534</c:v>
                </c:pt>
                <c:pt idx="44">
                  <c:v>6098.14646138148</c:v>
                </c:pt>
                <c:pt idx="45">
                  <c:v>6066.1518674111</c:v>
                </c:pt>
                <c:pt idx="46">
                  <c:v>6034.2511592088</c:v>
                </c:pt>
                <c:pt idx="47">
                  <c:v>6002.44426067872</c:v>
                </c:pt>
                <c:pt idx="48">
                  <c:v>5970.7310956645</c:v>
                </c:pt>
                <c:pt idx="49">
                  <c:v>5939.11158794917</c:v>
                </c:pt>
                <c:pt idx="50">
                  <c:v>5907.58566125503</c:v>
                </c:pt>
                <c:pt idx="51">
                  <c:v>5876.15323924363</c:v>
                </c:pt>
                <c:pt idx="52">
                  <c:v>5844.81424551563</c:v>
                </c:pt>
                <c:pt idx="53">
                  <c:v>5813.56860361073</c:v>
                </c:pt>
                <c:pt idx="54">
                  <c:v>5782.41623700761</c:v>
                </c:pt>
                <c:pt idx="55">
                  <c:v>5751.35706912379</c:v>
                </c:pt>
                <c:pt idx="56">
                  <c:v>5720.39102331559</c:v>
                </c:pt>
                <c:pt idx="57">
                  <c:v>5689.51802287805</c:v>
                </c:pt>
                <c:pt idx="58">
                  <c:v>5658.73799104481</c:v>
                </c:pt>
                <c:pt idx="59">
                  <c:v>5628.05085098806</c:v>
                </c:pt>
                <c:pt idx="60">
                  <c:v>5597.45652581843</c:v>
                </c:pt>
                <c:pt idx="61">
                  <c:v>5566.95493858493</c:v>
                </c:pt>
                <c:pt idx="62">
                  <c:v>5536.54601227487</c:v>
                </c:pt>
                <c:pt idx="63">
                  <c:v>5506.22966981377</c:v>
                </c:pt>
                <c:pt idx="64">
                  <c:v>5476.00583406527</c:v>
                </c:pt>
                <c:pt idx="65">
                  <c:v>5445.87442783106</c:v>
                </c:pt>
                <c:pt idx="66">
                  <c:v>5415.83537385082</c:v>
                </c:pt>
                <c:pt idx="67">
                  <c:v>5385.8885948021</c:v>
                </c:pt>
                <c:pt idx="68">
                  <c:v>5356.03401330029</c:v>
                </c:pt>
                <c:pt idx="69">
                  <c:v>5326.2715518985</c:v>
                </c:pt>
                <c:pt idx="70">
                  <c:v>5296.60113308752</c:v>
                </c:pt>
                <c:pt idx="71">
                  <c:v>5267.02267929571</c:v>
                </c:pt>
                <c:pt idx="72">
                  <c:v>5237.53611288896</c:v>
                </c:pt>
                <c:pt idx="73">
                  <c:v>5208.14135617058</c:v>
                </c:pt>
                <c:pt idx="74">
                  <c:v>5178.83833138127</c:v>
                </c:pt>
                <c:pt idx="75">
                  <c:v>5149.62696069899</c:v>
                </c:pt>
                <c:pt idx="76">
                  <c:v>5120.50716623896</c:v>
                </c:pt>
                <c:pt idx="77">
                  <c:v>5091.47887005351</c:v>
                </c:pt>
                <c:pt idx="78">
                  <c:v>5062.54199413208</c:v>
                </c:pt>
                <c:pt idx="79">
                  <c:v>5033.69646040112</c:v>
                </c:pt>
                <c:pt idx="80">
                  <c:v>5004.94219072399</c:v>
                </c:pt>
                <c:pt idx="81">
                  <c:v>4976.27910690098</c:v>
                </c:pt>
                <c:pt idx="82">
                  <c:v>4947.70713066913</c:v>
                </c:pt>
                <c:pt idx="83">
                  <c:v>4919.22618370228</c:v>
                </c:pt>
                <c:pt idx="84">
                  <c:v>4890.83618761091</c:v>
                </c:pt>
                <c:pt idx="85">
                  <c:v>4862.53706394213</c:v>
                </c:pt>
                <c:pt idx="86">
                  <c:v>4834.32873417961</c:v>
                </c:pt>
                <c:pt idx="87">
                  <c:v>4806.2111197435</c:v>
                </c:pt>
                <c:pt idx="88">
                  <c:v>4778.1841419904</c:v>
                </c:pt>
                <c:pt idx="89">
                  <c:v>4750.24772221326</c:v>
                </c:pt>
                <c:pt idx="90">
                  <c:v>4722.40178164136</c:v>
                </c:pt>
                <c:pt idx="91">
                  <c:v>4694.64624144026</c:v>
                </c:pt>
                <c:pt idx="92">
                  <c:v>4666.98102271168</c:v>
                </c:pt>
                <c:pt idx="93">
                  <c:v>4639.40604649352</c:v>
                </c:pt>
                <c:pt idx="94">
                  <c:v>4611.92123375978</c:v>
                </c:pt>
                <c:pt idx="95">
                  <c:v>4584.52650542048</c:v>
                </c:pt>
                <c:pt idx="96">
                  <c:v>4557.22178232166</c:v>
                </c:pt>
                <c:pt idx="97">
                  <c:v>4530.0069852453</c:v>
                </c:pt>
                <c:pt idx="98">
                  <c:v>4502.88203490927</c:v>
                </c:pt>
                <c:pt idx="99">
                  <c:v>4475.8468519673</c:v>
                </c:pt>
                <c:pt idx="100">
                  <c:v>4448.90135700894</c:v>
                </c:pt>
                <c:pt idx="101">
                  <c:v>4422.04547055947</c:v>
                </c:pt>
                <c:pt idx="102">
                  <c:v>4395.27911307993</c:v>
                </c:pt>
                <c:pt idx="103">
                  <c:v>4368.60220496703</c:v>
                </c:pt>
                <c:pt idx="104">
                  <c:v>4342.01466655313</c:v>
                </c:pt>
                <c:pt idx="105">
                  <c:v>4315.51641810619</c:v>
                </c:pt>
                <c:pt idx="106">
                  <c:v>4289.10737982976</c:v>
                </c:pt>
                <c:pt idx="107">
                  <c:v>4262.78747186291</c:v>
                </c:pt>
                <c:pt idx="108">
                  <c:v>4236.55661428024</c:v>
                </c:pt>
                <c:pt idx="109">
                  <c:v>4210.41472709182</c:v>
                </c:pt>
                <c:pt idx="110">
                  <c:v>4184.36173024317</c:v>
                </c:pt>
                <c:pt idx="111">
                  <c:v>4158.39754361524</c:v>
                </c:pt>
                <c:pt idx="112">
                  <c:v>4132.5220870244</c:v>
                </c:pt>
                <c:pt idx="113">
                  <c:v>4106.73528022236</c:v>
                </c:pt>
                <c:pt idx="114">
                  <c:v>4081.03704289624</c:v>
                </c:pt>
                <c:pt idx="115">
                  <c:v>4055.42729466847</c:v>
                </c:pt>
                <c:pt idx="116">
                  <c:v>4029.90595509683</c:v>
                </c:pt>
                <c:pt idx="117">
                  <c:v>4004.47294367438</c:v>
                </c:pt>
                <c:pt idx="118">
                  <c:v>3979.12817982953</c:v>
                </c:pt>
                <c:pt idx="119">
                  <c:v>3953.87158292596</c:v>
                </c:pt>
                <c:pt idx="120">
                  <c:v>3928.70307226264</c:v>
                </c:pt>
              </c:numCache>
            </c:numRef>
          </c:val>
          <c:smooth val="1"/>
        </c:ser>
        <c:ser>
          <c:idx val="1"/>
          <c:order val="1"/>
          <c:tx>
            <c:strRef>
              <c:f>"Oriental"</c:f>
              <c:strCache>
                <c:ptCount val="1"/>
                <c:pt idx="0">
                  <c:v>Oriental</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Simulación 120 días'!$B$23:$B$143</c:f>
              <c:strCach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strCache>
            </c:strRef>
          </c:cat>
          <c:val>
            <c:numRef>
              <c:f>'5 Simulación 120 días'!$I$23:$I$143</c:f>
              <c:numCache>
                <c:formatCode>#,##0</c:formatCode>
                <c:ptCount val="121"/>
                <c:pt idx="0">
                  <c:v>8000</c:v>
                </c:pt>
                <c:pt idx="1">
                  <c:v>7963.8</c:v>
                </c:pt>
                <c:pt idx="2">
                  <c:v>7927.69450512791</c:v>
                </c:pt>
                <c:pt idx="3">
                  <c:v>7891.68343563478</c:v>
                </c:pt>
                <c:pt idx="4">
                  <c:v>7855.76671172369</c:v>
                </c:pt>
                <c:pt idx="5">
                  <c:v>7819.9442535497</c:v>
                </c:pt>
                <c:pt idx="6">
                  <c:v>7784.21598121974</c:v>
                </c:pt>
                <c:pt idx="7">
                  <c:v>7748.58181479257</c:v>
                </c:pt>
                <c:pt idx="8">
                  <c:v>7713.04167427866</c:v>
                </c:pt>
                <c:pt idx="9">
                  <c:v>7677.59547964017</c:v>
                </c:pt>
                <c:pt idx="10">
                  <c:v>7642.24315079086</c:v>
                </c:pt>
                <c:pt idx="11">
                  <c:v>7606.98460759601</c:v>
                </c:pt>
                <c:pt idx="12">
                  <c:v>7571.81976987232</c:v>
                </c:pt>
                <c:pt idx="13">
                  <c:v>7536.7485573879</c:v>
                </c:pt>
                <c:pt idx="14">
                  <c:v>7501.77088986214</c:v>
                </c:pt>
                <c:pt idx="15">
                  <c:v>7466.88668696566</c:v>
                </c:pt>
                <c:pt idx="16">
                  <c:v>7432.09586832025</c:v>
                </c:pt>
                <c:pt idx="17">
                  <c:v>7397.39835349877</c:v>
                </c:pt>
                <c:pt idx="18">
                  <c:v>7362.79406202508</c:v>
                </c:pt>
                <c:pt idx="19">
                  <c:v>7328.282913374</c:v>
                </c:pt>
                <c:pt idx="20">
                  <c:v>7293.8648269712</c:v>
                </c:pt>
                <c:pt idx="21">
                  <c:v>7259.53972219314</c:v>
                </c:pt>
                <c:pt idx="22">
                  <c:v>7225.30751836699</c:v>
                </c:pt>
                <c:pt idx="23">
                  <c:v>7191.16813477059</c:v>
                </c:pt>
                <c:pt idx="24">
                  <c:v>7157.12149063233</c:v>
                </c:pt>
                <c:pt idx="25">
                  <c:v>7123.1675051311</c:v>
                </c:pt>
                <c:pt idx="26">
                  <c:v>7089.30609739624</c:v>
                </c:pt>
                <c:pt idx="27">
                  <c:v>7055.53718650741</c:v>
                </c:pt>
                <c:pt idx="28">
                  <c:v>7021.86069149459</c:v>
                </c:pt>
                <c:pt idx="29">
                  <c:v>6988.27653133793</c:v>
                </c:pt>
                <c:pt idx="30">
                  <c:v>6954.78462496776</c:v>
                </c:pt>
                <c:pt idx="31">
                  <c:v>6921.38489126445</c:v>
                </c:pt>
                <c:pt idx="32">
                  <c:v>6888.07724905837</c:v>
                </c:pt>
                <c:pt idx="33">
                  <c:v>6854.86161712981</c:v>
                </c:pt>
                <c:pt idx="34">
                  <c:v>6821.73791420892</c:v>
                </c:pt>
                <c:pt idx="35">
                  <c:v>6788.70605897562</c:v>
                </c:pt>
                <c:pt idx="36">
                  <c:v>6755.76597005953</c:v>
                </c:pt>
                <c:pt idx="37">
                  <c:v>6722.91756603993</c:v>
                </c:pt>
                <c:pt idx="38">
                  <c:v>6690.16076544565</c:v>
                </c:pt>
                <c:pt idx="39">
                  <c:v>6657.49548675501</c:v>
                </c:pt>
                <c:pt idx="40">
                  <c:v>6624.92164839576</c:v>
                </c:pt>
                <c:pt idx="41">
                  <c:v>6592.43916874501</c:v>
                </c:pt>
                <c:pt idx="42">
                  <c:v>6560.04796612913</c:v>
                </c:pt>
                <c:pt idx="43">
                  <c:v>6527.74795882371</c:v>
                </c:pt>
                <c:pt idx="44">
                  <c:v>6495.5390650535</c:v>
                </c:pt>
                <c:pt idx="45">
                  <c:v>6463.4212029923</c:v>
                </c:pt>
                <c:pt idx="46">
                  <c:v>6431.39429076292</c:v>
                </c:pt>
                <c:pt idx="47">
                  <c:v>6399.45824643709</c:v>
                </c:pt>
                <c:pt idx="48">
                  <c:v>6367.61298803541</c:v>
                </c:pt>
                <c:pt idx="49">
                  <c:v>6335.85843352728</c:v>
                </c:pt>
                <c:pt idx="50">
                  <c:v>6304.19450083081</c:v>
                </c:pt>
                <c:pt idx="51">
                  <c:v>6272.62110781277</c:v>
                </c:pt>
                <c:pt idx="52">
                  <c:v>6241.13817228852</c:v>
                </c:pt>
                <c:pt idx="53">
                  <c:v>6209.74561202193</c:v>
                </c:pt>
                <c:pt idx="54">
                  <c:v>6178.44334472532</c:v>
                </c:pt>
                <c:pt idx="55">
                  <c:v>6147.2312880594</c:v>
                </c:pt>
                <c:pt idx="56">
                  <c:v>6116.10935963318</c:v>
                </c:pt>
                <c:pt idx="57">
                  <c:v>6085.07747700393</c:v>
                </c:pt>
                <c:pt idx="58">
                  <c:v>6054.13555767709</c:v>
                </c:pt>
                <c:pt idx="59">
                  <c:v>6023.28351910621</c:v>
                </c:pt>
                <c:pt idx="60">
                  <c:v>5992.5212786929</c:v>
                </c:pt>
                <c:pt idx="61">
                  <c:v>5961.84875378673</c:v>
                </c:pt>
                <c:pt idx="62">
                  <c:v>5931.2658616852</c:v>
                </c:pt>
                <c:pt idx="63">
                  <c:v>5900.77251963364</c:v>
                </c:pt>
                <c:pt idx="64">
                  <c:v>5870.36864482518</c:v>
                </c:pt>
                <c:pt idx="65">
                  <c:v>5840.05415440066</c:v>
                </c:pt>
                <c:pt idx="66">
                  <c:v>5809.82896544857</c:v>
                </c:pt>
                <c:pt idx="67">
                  <c:v>5779.69299500499</c:v>
                </c:pt>
                <c:pt idx="68">
                  <c:v>5749.64616005352</c:v>
                </c:pt>
                <c:pt idx="69">
                  <c:v>5719.68837752524</c:v>
                </c:pt>
                <c:pt idx="70">
                  <c:v>5689.81956429861</c:v>
                </c:pt>
                <c:pt idx="71">
                  <c:v>5660.03963719942</c:v>
                </c:pt>
                <c:pt idx="72">
                  <c:v>5630.34851300074</c:v>
                </c:pt>
                <c:pt idx="73">
                  <c:v>5600.74610842285</c:v>
                </c:pt>
                <c:pt idx="74">
                  <c:v>5571.2323401332</c:v>
                </c:pt>
                <c:pt idx="75">
                  <c:v>5541.80712474628</c:v>
                </c:pt>
                <c:pt idx="76">
                  <c:v>5512.47037882365</c:v>
                </c:pt>
                <c:pt idx="77">
                  <c:v>5483.22201887381</c:v>
                </c:pt>
                <c:pt idx="78">
                  <c:v>5454.06196135219</c:v>
                </c:pt>
                <c:pt idx="79">
                  <c:v>5424.99012266105</c:v>
                </c:pt>
                <c:pt idx="80">
                  <c:v>5396.00641914944</c:v>
                </c:pt>
                <c:pt idx="81">
                  <c:v>5367.11076711316</c:v>
                </c:pt>
                <c:pt idx="82">
                  <c:v>5338.30308279465</c:v>
                </c:pt>
                <c:pt idx="83">
                  <c:v>5309.58328238299</c:v>
                </c:pt>
                <c:pt idx="84">
                  <c:v>5280.95128201382</c:v>
                </c:pt>
                <c:pt idx="85">
                  <c:v>5252.40699776926</c:v>
                </c:pt>
                <c:pt idx="86">
                  <c:v>5223.95034567791</c:v>
                </c:pt>
                <c:pt idx="87">
                  <c:v>5195.58124171474</c:v>
                </c:pt>
                <c:pt idx="88">
                  <c:v>5167.29960180106</c:v>
                </c:pt>
                <c:pt idx="89">
                  <c:v>5139.10534180447</c:v>
                </c:pt>
                <c:pt idx="90">
                  <c:v>5110.99837753879</c:v>
                </c:pt>
                <c:pt idx="91">
                  <c:v>5082.97862476404</c:v>
                </c:pt>
                <c:pt idx="92">
                  <c:v>5055.04599918635</c:v>
                </c:pt>
                <c:pt idx="93">
                  <c:v>5027.20041645793</c:v>
                </c:pt>
                <c:pt idx="94">
                  <c:v>4999.44179217701</c:v>
                </c:pt>
                <c:pt idx="95">
                  <c:v>4971.77004188782</c:v>
                </c:pt>
                <c:pt idx="96">
                  <c:v>4944.18508108048</c:v>
                </c:pt>
                <c:pt idx="97">
                  <c:v>4916.68682519101</c:v>
                </c:pt>
                <c:pt idx="98">
                  <c:v>4889.27518960126</c:v>
                </c:pt>
                <c:pt idx="99">
                  <c:v>4861.95008963887</c:v>
                </c:pt>
                <c:pt idx="100">
                  <c:v>4834.71144057721</c:v>
                </c:pt>
                <c:pt idx="101">
                  <c:v>4807.55915763533</c:v>
                </c:pt>
                <c:pt idx="102">
                  <c:v>4780.49315597795</c:v>
                </c:pt>
                <c:pt idx="103">
                  <c:v>4753.5133507154</c:v>
                </c:pt>
                <c:pt idx="104">
                  <c:v>4726.61965690355</c:v>
                </c:pt>
                <c:pt idx="105">
                  <c:v>4699.81198954381</c:v>
                </c:pt>
                <c:pt idx="106">
                  <c:v>4673.09026358307</c:v>
                </c:pt>
                <c:pt idx="107">
                  <c:v>4646.45439391365</c:v>
                </c:pt>
                <c:pt idx="108">
                  <c:v>4619.90429537327</c:v>
                </c:pt>
                <c:pt idx="109">
                  <c:v>4593.43988274505</c:v>
                </c:pt>
                <c:pt idx="110">
                  <c:v>4567.0610707574</c:v>
                </c:pt>
                <c:pt idx="111">
                  <c:v>4540.76777408402</c:v>
                </c:pt>
                <c:pt idx="112">
                  <c:v>4514.55990734391</c:v>
                </c:pt>
                <c:pt idx="113">
                  <c:v>4488.43738510124</c:v>
                </c:pt>
                <c:pt idx="114">
                  <c:v>4462.40012186541</c:v>
                </c:pt>
                <c:pt idx="115">
                  <c:v>4436.44803209096</c:v>
                </c:pt>
                <c:pt idx="116">
                  <c:v>4410.58103017758</c:v>
                </c:pt>
                <c:pt idx="117">
                  <c:v>4384.79903047004</c:v>
                </c:pt>
                <c:pt idx="118">
                  <c:v>4359.10194725818</c:v>
                </c:pt>
                <c:pt idx="119">
                  <c:v>4333.48969477691</c:v>
                </c:pt>
                <c:pt idx="120">
                  <c:v>4307.96218720614</c:v>
                </c:pt>
              </c:numCache>
            </c:numRef>
          </c:val>
          <c:smooth val="1"/>
        </c:ser>
        <c:hiLowLines>
          <c:spPr>
            <a:ln w="0">
              <a:noFill/>
            </a:ln>
          </c:spPr>
        </c:hiLowLines>
        <c:marker val="0"/>
        <c:axId val="51283623"/>
        <c:axId val="38432334"/>
      </c:lineChart>
      <c:catAx>
        <c:axId val="5128362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 del verano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432334"/>
        <c:crosses val="autoZero"/>
        <c:auto val="1"/>
        <c:lblAlgn val="ctr"/>
        <c:lblOffset val="100"/>
        <c:noMultiLvlLbl val="0"/>
      </c:catAx>
      <c:valAx>
        <c:axId val="384323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m³</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28362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Nivel de la represa oriental frente a la casa nueva</a:t>
            </a:r>
          </a:p>
        </c:rich>
      </c:tx>
      <c:overlay val="0"/>
      <c:spPr>
        <a:noFill/>
        <a:ln w="0">
          <a:noFill/>
        </a:ln>
      </c:spPr>
    </c:title>
    <c:autoTitleDeleted val="0"/>
    <c:plotArea>
      <c:lineChart>
        <c:grouping val="standard"/>
        <c:varyColors val="0"/>
        <c:ser>
          <c:idx val="0"/>
          <c:order val="0"/>
          <c:tx>
            <c:strRef>
              <c:f>"Nivel del agua (oriental)"</c:f>
              <c:strCache>
                <c:ptCount val="1"/>
                <c:pt idx="0">
                  <c:v>Nivel del agua (oriental)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Simulación 120 días'!$B$23:$B$143</c:f>
              <c:strCach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strCache>
            </c:strRef>
          </c:cat>
          <c:val>
            <c:numRef>
              <c:f>'5 Simulación 120 días'!$N$23:$N$143</c:f>
              <c:numCache>
                <c:formatCode>0.00</c:formatCode>
                <c:ptCount val="121"/>
                <c:pt idx="0">
                  <c:v>386.7</c:v>
                </c:pt>
                <c:pt idx="1">
                  <c:v>386.693640334487</c:v>
                </c:pt>
                <c:pt idx="2">
                  <c:v>386.687279678416</c:v>
                </c:pt>
                <c:pt idx="3">
                  <c:v>386.680918027131</c:v>
                </c:pt>
                <c:pt idx="4">
                  <c:v>386.674555375943</c:v>
                </c:pt>
                <c:pt idx="5">
                  <c:v>386.668191720132</c:v>
                </c:pt>
                <c:pt idx="6">
                  <c:v>386.661827054949</c:v>
                </c:pt>
                <c:pt idx="7">
                  <c:v>386.655461375608</c:v>
                </c:pt>
                <c:pt idx="8">
                  <c:v>386.649094677293</c:v>
                </c:pt>
                <c:pt idx="9">
                  <c:v>386.642726955156</c:v>
                </c:pt>
                <c:pt idx="10">
                  <c:v>386.636358204314</c:v>
                </c:pt>
                <c:pt idx="11">
                  <c:v>386.629988419852</c:v>
                </c:pt>
                <c:pt idx="12">
                  <c:v>386.623617596822</c:v>
                </c:pt>
                <c:pt idx="13">
                  <c:v>386.617245730238</c:v>
                </c:pt>
                <c:pt idx="14">
                  <c:v>386.610872815085</c:v>
                </c:pt>
                <c:pt idx="15">
                  <c:v>386.60449884631</c:v>
                </c:pt>
                <c:pt idx="16">
                  <c:v>386.598123818826</c:v>
                </c:pt>
                <c:pt idx="17">
                  <c:v>386.591747727511</c:v>
                </c:pt>
                <c:pt idx="18">
                  <c:v>386.585370567207</c:v>
                </c:pt>
                <c:pt idx="19">
                  <c:v>386.578992332721</c:v>
                </c:pt>
                <c:pt idx="20">
                  <c:v>386.572613018822</c:v>
                </c:pt>
                <c:pt idx="21">
                  <c:v>386.566232620245</c:v>
                </c:pt>
                <c:pt idx="22">
                  <c:v>386.559851131685</c:v>
                </c:pt>
                <c:pt idx="23">
                  <c:v>386.553468547803</c:v>
                </c:pt>
                <c:pt idx="24">
                  <c:v>386.54708486322</c:v>
                </c:pt>
                <c:pt idx="25">
                  <c:v>386.540700072521</c:v>
                </c:pt>
                <c:pt idx="26">
                  <c:v>386.534314170251</c:v>
                </c:pt>
                <c:pt idx="27">
                  <c:v>386.527927150917</c:v>
                </c:pt>
                <c:pt idx="28">
                  <c:v>386.521539008988</c:v>
                </c:pt>
                <c:pt idx="29">
                  <c:v>386.515149738892</c:v>
                </c:pt>
                <c:pt idx="30">
                  <c:v>386.508759335018</c:v>
                </c:pt>
                <c:pt idx="31">
                  <c:v>386.502367791717</c:v>
                </c:pt>
                <c:pt idx="32">
                  <c:v>386.495975103295</c:v>
                </c:pt>
                <c:pt idx="33">
                  <c:v>386.489581264021</c:v>
                </c:pt>
                <c:pt idx="34">
                  <c:v>386.483186268122</c:v>
                </c:pt>
                <c:pt idx="35">
                  <c:v>386.476790109783</c:v>
                </c:pt>
                <c:pt idx="36">
                  <c:v>386.470392783146</c:v>
                </c:pt>
                <c:pt idx="37">
                  <c:v>386.463994282311</c:v>
                </c:pt>
                <c:pt idx="38">
                  <c:v>386.457594601338</c:v>
                </c:pt>
                <c:pt idx="39">
                  <c:v>386.451193734239</c:v>
                </c:pt>
                <c:pt idx="40">
                  <c:v>386.444791674987</c:v>
                </c:pt>
                <c:pt idx="41">
                  <c:v>386.438388417508</c:v>
                </c:pt>
                <c:pt idx="42">
                  <c:v>386.431983955683</c:v>
                </c:pt>
                <c:pt idx="43">
                  <c:v>386.425578283352</c:v>
                </c:pt>
                <c:pt idx="44">
                  <c:v>386.419171394305</c:v>
                </c:pt>
                <c:pt idx="45">
                  <c:v>386.41276328229</c:v>
                </c:pt>
                <c:pt idx="46">
                  <c:v>386.406353941006</c:v>
                </c:pt>
                <c:pt idx="47">
                  <c:v>386.399943364107</c:v>
                </c:pt>
                <c:pt idx="48">
                  <c:v>386.393531545199</c:v>
                </c:pt>
                <c:pt idx="49">
                  <c:v>386.387118477841</c:v>
                </c:pt>
                <c:pt idx="50">
                  <c:v>386.380704155543</c:v>
                </c:pt>
                <c:pt idx="51">
                  <c:v>386.374288571768</c:v>
                </c:pt>
                <c:pt idx="52">
                  <c:v>386.36787171993</c:v>
                </c:pt>
                <c:pt idx="53">
                  <c:v>386.361453593391</c:v>
                </c:pt>
                <c:pt idx="54">
                  <c:v>386.355034185465</c:v>
                </c:pt>
                <c:pt idx="55">
                  <c:v>386.348613489417</c:v>
                </c:pt>
                <c:pt idx="56">
                  <c:v>386.342191498457</c:v>
                </c:pt>
                <c:pt idx="57">
                  <c:v>386.335768205747</c:v>
                </c:pt>
                <c:pt idx="58">
                  <c:v>386.329343604396</c:v>
                </c:pt>
                <c:pt idx="59">
                  <c:v>386.32291768746</c:v>
                </c:pt>
                <c:pt idx="60">
                  <c:v>386.316490447942</c:v>
                </c:pt>
                <c:pt idx="61">
                  <c:v>386.310061878793</c:v>
                </c:pt>
                <c:pt idx="62">
                  <c:v>386.303631972907</c:v>
                </c:pt>
                <c:pt idx="63">
                  <c:v>386.297200723125</c:v>
                </c:pt>
                <c:pt idx="64">
                  <c:v>386.290768122234</c:v>
                </c:pt>
                <c:pt idx="65">
                  <c:v>386.284334162963</c:v>
                </c:pt>
                <c:pt idx="66">
                  <c:v>386.277898837986</c:v>
                </c:pt>
                <c:pt idx="67">
                  <c:v>386.271462139919</c:v>
                </c:pt>
                <c:pt idx="68">
                  <c:v>386.265024061322</c:v>
                </c:pt>
                <c:pt idx="69">
                  <c:v>386.258584594696</c:v>
                </c:pt>
                <c:pt idx="70">
                  <c:v>386.252143732483</c:v>
                </c:pt>
                <c:pt idx="71">
                  <c:v>386.245701467066</c:v>
                </c:pt>
                <c:pt idx="72">
                  <c:v>386.239257790769</c:v>
                </c:pt>
                <c:pt idx="73">
                  <c:v>386.232812695854</c:v>
                </c:pt>
                <c:pt idx="74">
                  <c:v>386.226366174522</c:v>
                </c:pt>
                <c:pt idx="75">
                  <c:v>386.219918218914</c:v>
                </c:pt>
                <c:pt idx="76">
                  <c:v>386.213468821106</c:v>
                </c:pt>
                <c:pt idx="77">
                  <c:v>386.207017973113</c:v>
                </c:pt>
                <c:pt idx="78">
                  <c:v>386.200565666885</c:v>
                </c:pt>
                <c:pt idx="79">
                  <c:v>386.194111894308</c:v>
                </c:pt>
                <c:pt idx="80">
                  <c:v>386.187656647203</c:v>
                </c:pt>
                <c:pt idx="81">
                  <c:v>386.181199917325</c:v>
                </c:pt>
                <c:pt idx="82">
                  <c:v>386.174741696363</c:v>
                </c:pt>
                <c:pt idx="83">
                  <c:v>386.168281975937</c:v>
                </c:pt>
                <c:pt idx="84">
                  <c:v>386.161820747601</c:v>
                </c:pt>
                <c:pt idx="85">
                  <c:v>386.15535800284</c:v>
                </c:pt>
                <c:pt idx="86">
                  <c:v>386.14889373307</c:v>
                </c:pt>
                <c:pt idx="87">
                  <c:v>386.142427929635</c:v>
                </c:pt>
                <c:pt idx="88">
                  <c:v>386.13596058381</c:v>
                </c:pt>
                <c:pt idx="89">
                  <c:v>386.129491686797</c:v>
                </c:pt>
                <c:pt idx="90">
                  <c:v>386.123021229727</c:v>
                </c:pt>
                <c:pt idx="91">
                  <c:v>386.116549203657</c:v>
                </c:pt>
                <c:pt idx="92">
                  <c:v>386.11007559957</c:v>
                </c:pt>
                <c:pt idx="93">
                  <c:v>386.103600408373</c:v>
                </c:pt>
                <c:pt idx="94">
                  <c:v>386.0971236209</c:v>
                </c:pt>
                <c:pt idx="95">
                  <c:v>386.090645227907</c:v>
                </c:pt>
                <c:pt idx="96">
                  <c:v>386.084165220071</c:v>
                </c:pt>
                <c:pt idx="97">
                  <c:v>386.077683587995</c:v>
                </c:pt>
                <c:pt idx="98">
                  <c:v>386.071200322198</c:v>
                </c:pt>
                <c:pt idx="99">
                  <c:v>386.064715413124</c:v>
                </c:pt>
                <c:pt idx="100">
                  <c:v>386.058228851131</c:v>
                </c:pt>
                <c:pt idx="101">
                  <c:v>386.051740626501</c:v>
                </c:pt>
                <c:pt idx="102">
                  <c:v>386.045250729428</c:v>
                </c:pt>
                <c:pt idx="103">
                  <c:v>386.038759150026</c:v>
                </c:pt>
                <c:pt idx="104">
                  <c:v>386.032265878323</c:v>
                </c:pt>
                <c:pt idx="105">
                  <c:v>386.025770904262</c:v>
                </c:pt>
                <c:pt idx="106">
                  <c:v>386.019274217699</c:v>
                </c:pt>
                <c:pt idx="107">
                  <c:v>386.012775808404</c:v>
                </c:pt>
                <c:pt idx="108">
                  <c:v>386.006275666057</c:v>
                </c:pt>
                <c:pt idx="109">
                  <c:v>385.99977378025</c:v>
                </c:pt>
                <c:pt idx="110">
                  <c:v>385.993270140483</c:v>
                </c:pt>
                <c:pt idx="111">
                  <c:v>385.986764736165</c:v>
                </c:pt>
                <c:pt idx="112">
                  <c:v>385.980257556614</c:v>
                </c:pt>
                <c:pt idx="113">
                  <c:v>385.973748591052</c:v>
                </c:pt>
                <c:pt idx="114">
                  <c:v>385.967237828608</c:v>
                </c:pt>
                <c:pt idx="115">
                  <c:v>385.960725258316</c:v>
                </c:pt>
                <c:pt idx="116">
                  <c:v>385.95421086911</c:v>
                </c:pt>
                <c:pt idx="117">
                  <c:v>385.947694649828</c:v>
                </c:pt>
                <c:pt idx="118">
                  <c:v>385.94117658921</c:v>
                </c:pt>
                <c:pt idx="119">
                  <c:v>385.934656675893</c:v>
                </c:pt>
                <c:pt idx="120">
                  <c:v>385.928134898415</c:v>
                </c:pt>
              </c:numCache>
            </c:numRef>
          </c:val>
          <c:smooth val="1"/>
        </c:ser>
        <c:ser>
          <c:idx val="1"/>
          <c:order val="1"/>
          <c:tx>
            <c:strRef>
              <c:f>"Cota de la casa nueva"</c:f>
              <c:strCache>
                <c:ptCount val="1"/>
                <c:pt idx="0">
                  <c:v>Cota de la casa nueva</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Simulación 120 días'!$B$23:$B$143</c:f>
              <c:strCach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strCache>
            </c:strRef>
          </c:cat>
          <c:val>
            <c:numRef>
              <c:f>'5 Simulación 120 días'!$O$23:$O$143</c:f>
              <c:numCache>
                <c:formatCode>0.0</c:formatCode>
                <c:ptCount val="121"/>
                <c:pt idx="0">
                  <c:v>383</c:v>
                </c:pt>
                <c:pt idx="1">
                  <c:v>383</c:v>
                </c:pt>
                <c:pt idx="2">
                  <c:v>383</c:v>
                </c:pt>
                <c:pt idx="3">
                  <c:v>383</c:v>
                </c:pt>
                <c:pt idx="4">
                  <c:v>383</c:v>
                </c:pt>
                <c:pt idx="5">
                  <c:v>383</c:v>
                </c:pt>
                <c:pt idx="6">
                  <c:v>383</c:v>
                </c:pt>
                <c:pt idx="7">
                  <c:v>383</c:v>
                </c:pt>
                <c:pt idx="8">
                  <c:v>383</c:v>
                </c:pt>
                <c:pt idx="9">
                  <c:v>383</c:v>
                </c:pt>
                <c:pt idx="10">
                  <c:v>383</c:v>
                </c:pt>
                <c:pt idx="11">
                  <c:v>383</c:v>
                </c:pt>
                <c:pt idx="12">
                  <c:v>383</c:v>
                </c:pt>
                <c:pt idx="13">
                  <c:v>383</c:v>
                </c:pt>
                <c:pt idx="14">
                  <c:v>383</c:v>
                </c:pt>
                <c:pt idx="15">
                  <c:v>383</c:v>
                </c:pt>
                <c:pt idx="16">
                  <c:v>383</c:v>
                </c:pt>
                <c:pt idx="17">
                  <c:v>383</c:v>
                </c:pt>
                <c:pt idx="18">
                  <c:v>383</c:v>
                </c:pt>
                <c:pt idx="19">
                  <c:v>383</c:v>
                </c:pt>
                <c:pt idx="20">
                  <c:v>383</c:v>
                </c:pt>
                <c:pt idx="21">
                  <c:v>383</c:v>
                </c:pt>
                <c:pt idx="22">
                  <c:v>383</c:v>
                </c:pt>
                <c:pt idx="23">
                  <c:v>383</c:v>
                </c:pt>
                <c:pt idx="24">
                  <c:v>383</c:v>
                </c:pt>
                <c:pt idx="25">
                  <c:v>383</c:v>
                </c:pt>
                <c:pt idx="26">
                  <c:v>383</c:v>
                </c:pt>
                <c:pt idx="27">
                  <c:v>383</c:v>
                </c:pt>
                <c:pt idx="28">
                  <c:v>383</c:v>
                </c:pt>
                <c:pt idx="29">
                  <c:v>383</c:v>
                </c:pt>
                <c:pt idx="30">
                  <c:v>383</c:v>
                </c:pt>
                <c:pt idx="31">
                  <c:v>383</c:v>
                </c:pt>
                <c:pt idx="32">
                  <c:v>383</c:v>
                </c:pt>
                <c:pt idx="33">
                  <c:v>383</c:v>
                </c:pt>
                <c:pt idx="34">
                  <c:v>383</c:v>
                </c:pt>
                <c:pt idx="35">
                  <c:v>383</c:v>
                </c:pt>
                <c:pt idx="36">
                  <c:v>383</c:v>
                </c:pt>
                <c:pt idx="37">
                  <c:v>383</c:v>
                </c:pt>
                <c:pt idx="38">
                  <c:v>383</c:v>
                </c:pt>
                <c:pt idx="39">
                  <c:v>383</c:v>
                </c:pt>
                <c:pt idx="40">
                  <c:v>383</c:v>
                </c:pt>
                <c:pt idx="41">
                  <c:v>383</c:v>
                </c:pt>
                <c:pt idx="42">
                  <c:v>383</c:v>
                </c:pt>
                <c:pt idx="43">
                  <c:v>383</c:v>
                </c:pt>
                <c:pt idx="44">
                  <c:v>383</c:v>
                </c:pt>
                <c:pt idx="45">
                  <c:v>383</c:v>
                </c:pt>
                <c:pt idx="46">
                  <c:v>383</c:v>
                </c:pt>
                <c:pt idx="47">
                  <c:v>383</c:v>
                </c:pt>
                <c:pt idx="48">
                  <c:v>383</c:v>
                </c:pt>
                <c:pt idx="49">
                  <c:v>383</c:v>
                </c:pt>
                <c:pt idx="50">
                  <c:v>383</c:v>
                </c:pt>
                <c:pt idx="51">
                  <c:v>383</c:v>
                </c:pt>
                <c:pt idx="52">
                  <c:v>383</c:v>
                </c:pt>
                <c:pt idx="53">
                  <c:v>383</c:v>
                </c:pt>
                <c:pt idx="54">
                  <c:v>383</c:v>
                </c:pt>
                <c:pt idx="55">
                  <c:v>383</c:v>
                </c:pt>
                <c:pt idx="56">
                  <c:v>383</c:v>
                </c:pt>
                <c:pt idx="57">
                  <c:v>383</c:v>
                </c:pt>
                <c:pt idx="58">
                  <c:v>383</c:v>
                </c:pt>
                <c:pt idx="59">
                  <c:v>383</c:v>
                </c:pt>
                <c:pt idx="60">
                  <c:v>383</c:v>
                </c:pt>
                <c:pt idx="61">
                  <c:v>383</c:v>
                </c:pt>
                <c:pt idx="62">
                  <c:v>383</c:v>
                </c:pt>
                <c:pt idx="63">
                  <c:v>383</c:v>
                </c:pt>
                <c:pt idx="64">
                  <c:v>383</c:v>
                </c:pt>
                <c:pt idx="65">
                  <c:v>383</c:v>
                </c:pt>
                <c:pt idx="66">
                  <c:v>383</c:v>
                </c:pt>
                <c:pt idx="67">
                  <c:v>383</c:v>
                </c:pt>
                <c:pt idx="68">
                  <c:v>383</c:v>
                </c:pt>
                <c:pt idx="69">
                  <c:v>383</c:v>
                </c:pt>
                <c:pt idx="70">
                  <c:v>383</c:v>
                </c:pt>
                <c:pt idx="71">
                  <c:v>383</c:v>
                </c:pt>
                <c:pt idx="72">
                  <c:v>383</c:v>
                </c:pt>
                <c:pt idx="73">
                  <c:v>383</c:v>
                </c:pt>
                <c:pt idx="74">
                  <c:v>383</c:v>
                </c:pt>
                <c:pt idx="75">
                  <c:v>383</c:v>
                </c:pt>
                <c:pt idx="76">
                  <c:v>383</c:v>
                </c:pt>
                <c:pt idx="77">
                  <c:v>383</c:v>
                </c:pt>
                <c:pt idx="78">
                  <c:v>383</c:v>
                </c:pt>
                <c:pt idx="79">
                  <c:v>383</c:v>
                </c:pt>
                <c:pt idx="80">
                  <c:v>383</c:v>
                </c:pt>
                <c:pt idx="81">
                  <c:v>383</c:v>
                </c:pt>
                <c:pt idx="82">
                  <c:v>383</c:v>
                </c:pt>
                <c:pt idx="83">
                  <c:v>383</c:v>
                </c:pt>
                <c:pt idx="84">
                  <c:v>383</c:v>
                </c:pt>
                <c:pt idx="85">
                  <c:v>383</c:v>
                </c:pt>
                <c:pt idx="86">
                  <c:v>383</c:v>
                </c:pt>
                <c:pt idx="87">
                  <c:v>383</c:v>
                </c:pt>
                <c:pt idx="88">
                  <c:v>383</c:v>
                </c:pt>
                <c:pt idx="89">
                  <c:v>383</c:v>
                </c:pt>
                <c:pt idx="90">
                  <c:v>383</c:v>
                </c:pt>
                <c:pt idx="91">
                  <c:v>383</c:v>
                </c:pt>
                <c:pt idx="92">
                  <c:v>383</c:v>
                </c:pt>
                <c:pt idx="93">
                  <c:v>383</c:v>
                </c:pt>
                <c:pt idx="94">
                  <c:v>383</c:v>
                </c:pt>
                <c:pt idx="95">
                  <c:v>383</c:v>
                </c:pt>
                <c:pt idx="96">
                  <c:v>383</c:v>
                </c:pt>
                <c:pt idx="97">
                  <c:v>383</c:v>
                </c:pt>
                <c:pt idx="98">
                  <c:v>383</c:v>
                </c:pt>
                <c:pt idx="99">
                  <c:v>383</c:v>
                </c:pt>
                <c:pt idx="100">
                  <c:v>383</c:v>
                </c:pt>
                <c:pt idx="101">
                  <c:v>383</c:v>
                </c:pt>
                <c:pt idx="102">
                  <c:v>383</c:v>
                </c:pt>
                <c:pt idx="103">
                  <c:v>383</c:v>
                </c:pt>
                <c:pt idx="104">
                  <c:v>383</c:v>
                </c:pt>
                <c:pt idx="105">
                  <c:v>383</c:v>
                </c:pt>
                <c:pt idx="106">
                  <c:v>383</c:v>
                </c:pt>
                <c:pt idx="107">
                  <c:v>383</c:v>
                </c:pt>
                <c:pt idx="108">
                  <c:v>383</c:v>
                </c:pt>
                <c:pt idx="109">
                  <c:v>383</c:v>
                </c:pt>
                <c:pt idx="110">
                  <c:v>383</c:v>
                </c:pt>
                <c:pt idx="111">
                  <c:v>383</c:v>
                </c:pt>
                <c:pt idx="112">
                  <c:v>383</c:v>
                </c:pt>
                <c:pt idx="113">
                  <c:v>383</c:v>
                </c:pt>
                <c:pt idx="114">
                  <c:v>383</c:v>
                </c:pt>
                <c:pt idx="115">
                  <c:v>383</c:v>
                </c:pt>
                <c:pt idx="116">
                  <c:v>383</c:v>
                </c:pt>
                <c:pt idx="117">
                  <c:v>383</c:v>
                </c:pt>
                <c:pt idx="118">
                  <c:v>383</c:v>
                </c:pt>
                <c:pt idx="119">
                  <c:v>383</c:v>
                </c:pt>
                <c:pt idx="120">
                  <c:v>383</c:v>
                </c:pt>
              </c:numCache>
            </c:numRef>
          </c:val>
          <c:smooth val="1"/>
        </c:ser>
        <c:hiLowLines>
          <c:spPr>
            <a:ln w="0">
              <a:noFill/>
            </a:ln>
          </c:spPr>
        </c:hiLowLines>
        <c:marker val="0"/>
        <c:axId val="78032111"/>
        <c:axId val="79893365"/>
      </c:lineChart>
      <c:catAx>
        <c:axId val="780321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Día del verano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93365"/>
        <c:crosses val="autoZero"/>
        <c:auto val="1"/>
        <c:lblAlgn val="ctr"/>
        <c:lblOffset val="100"/>
        <c:noMultiLvlLbl val="0"/>
      </c:catAx>
      <c:valAx>
        <c:axId val="79893365"/>
        <c:scaling>
          <c:orientation val="minMax"/>
          <c:max val="387"/>
          <c:min val="382"/>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321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3</xdr:row>
      <xdr:rowOff>145440</xdr:rowOff>
    </xdr:from>
    <xdr:to>
      <xdr:col>24</xdr:col>
      <xdr:colOff>507600</xdr:colOff>
      <xdr:row>17</xdr:row>
      <xdr:rowOff>178200</xdr:rowOff>
    </xdr:to>
    <xdr:graphicFrame>
      <xdr:nvGraphicFramePr>
        <xdr:cNvPr id="0" name="Chart 1"/>
        <xdr:cNvGraphicFramePr/>
      </xdr:nvGraphicFramePr>
      <xdr:xfrm>
        <a:off x="11458080" y="7621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20</xdr:row>
      <xdr:rowOff>145440</xdr:rowOff>
    </xdr:from>
    <xdr:to>
      <xdr:col>24</xdr:col>
      <xdr:colOff>507600</xdr:colOff>
      <xdr:row>34</xdr:row>
      <xdr:rowOff>6840</xdr:rowOff>
    </xdr:to>
    <xdr:graphicFrame>
      <xdr:nvGraphicFramePr>
        <xdr:cNvPr id="1" name="Chart 2"/>
        <xdr:cNvGraphicFramePr/>
      </xdr:nvGraphicFramePr>
      <xdr:xfrm>
        <a:off x="11458080" y="400068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ecalc.xlsx" TargetMode="External"/><Relationship Id="rId2" Type="http://schemas.openxmlformats.org/officeDocument/2006/relationships/hyperlink" Target="recalc.xlsx" TargetMode="External"/><Relationship Id="rId3" Type="http://schemas.openxmlformats.org/officeDocument/2006/relationships/hyperlink" Target="recalc.xlsx" TargetMode="External"/><Relationship Id="rId4" Type="http://schemas.openxmlformats.org/officeDocument/2006/relationships/hyperlink" Target="recalc.xlsx" TargetMode="External"/><Relationship Id="rId5" Type="http://schemas.openxmlformats.org/officeDocument/2006/relationships/hyperlink" Target="recalc.xlsx" TargetMode="External"/><Relationship Id="rId6" Type="http://schemas.openxmlformats.org/officeDocument/2006/relationships/hyperlink" Target="recalc.xlsx" TargetMode="External"/><Relationship Id="rId7" Type="http://schemas.openxmlformats.org/officeDocument/2006/relationships/hyperlink" Target="recalc.xlsx" TargetMode="External"/><Relationship Id="rId8" Type="http://schemas.openxmlformats.org/officeDocument/2006/relationships/hyperlink" Target="recalc.xlsx" TargetMode="External"/><Relationship Id="rId9" Type="http://schemas.openxmlformats.org/officeDocument/2006/relationships/hyperlink" Target="recalc.xlsx" TargetMode="External"/><Relationship Id="rId10" Type="http://schemas.openxmlformats.org/officeDocument/2006/relationships/hyperlink" Target="recalc.xlsx" TargetMode="External"/><Relationship Id="rId11" Type="http://schemas.openxmlformats.org/officeDocument/2006/relationships/hyperlink" Target="recalc.xlsx"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622F"/>
    <pageSetUpPr fitToPage="true"/>
  </sheetPr>
  <dimension ref="B2:E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26"/>
    <col collapsed="false" customWidth="true" hidden="false" outlineLevel="0" max="4" min="4" style="0" width="64"/>
    <col collapsed="false" customWidth="true" hidden="false" outlineLevel="0" max="5" min="5" style="0" width="3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c r="D6" s="5"/>
      <c r="E6" s="5"/>
    </row>
    <row r="7" customFormat="false" ht="30" hidden="false" customHeight="true" outlineLevel="0" collapsed="false">
      <c r="B7" s="6" t="s">
        <v>4</v>
      </c>
      <c r="C7" s="6"/>
      <c r="D7" s="6"/>
      <c r="E7" s="6"/>
    </row>
    <row r="8" customFormat="false" ht="30" hidden="false" customHeight="true" outlineLevel="0" collapsed="false">
      <c r="B8" s="6" t="s">
        <v>5</v>
      </c>
      <c r="C8" s="6"/>
      <c r="D8" s="6"/>
      <c r="E8" s="6"/>
    </row>
    <row r="10" customFormat="false" ht="15" hidden="false" customHeight="false" outlineLevel="0" collapsed="false">
      <c r="B10" s="4" t="s">
        <v>6</v>
      </c>
      <c r="C10" s="5"/>
      <c r="D10" s="5"/>
      <c r="E10" s="5"/>
    </row>
    <row r="11" customFormat="false" ht="18" hidden="false" customHeight="true" outlineLevel="0" collapsed="false">
      <c r="B11" s="6" t="s">
        <v>7</v>
      </c>
      <c r="C11" s="6"/>
      <c r="D11" s="6"/>
      <c r="E11" s="6"/>
    </row>
    <row r="12" customFormat="false" ht="18" hidden="false" customHeight="true" outlineLevel="0" collapsed="false">
      <c r="B12" s="6" t="s">
        <v>8</v>
      </c>
      <c r="C12" s="6"/>
      <c r="D12" s="6"/>
      <c r="E12" s="6"/>
    </row>
    <row r="13" customFormat="false" ht="18" hidden="false" customHeight="true" outlineLevel="0" collapsed="false">
      <c r="B13" s="6" t="s">
        <v>9</v>
      </c>
      <c r="C13" s="6"/>
      <c r="D13" s="6"/>
      <c r="E13" s="6"/>
    </row>
    <row r="14" customFormat="false" ht="18" hidden="false" customHeight="true" outlineLevel="0" collapsed="false">
      <c r="B14" s="6" t="s">
        <v>10</v>
      </c>
      <c r="C14" s="6"/>
      <c r="D14" s="6"/>
      <c r="E14" s="6"/>
    </row>
    <row r="16" customFormat="false" ht="15" hidden="false" customHeight="false" outlineLevel="0" collapsed="false">
      <c r="B16" s="4" t="s">
        <v>11</v>
      </c>
      <c r="C16" s="5"/>
      <c r="D16" s="5"/>
      <c r="E16" s="5"/>
    </row>
    <row r="17" customFormat="false" ht="15" hidden="false" customHeight="true" outlineLevel="0" collapsed="false">
      <c r="B17" s="7" t="s">
        <v>12</v>
      </c>
      <c r="C17" s="6" t="s">
        <v>13</v>
      </c>
      <c r="D17" s="6"/>
      <c r="E17" s="6"/>
    </row>
    <row r="18" customFormat="false" ht="15" hidden="false" customHeight="true" outlineLevel="0" collapsed="false">
      <c r="B18" s="8" t="s">
        <v>14</v>
      </c>
      <c r="C18" s="6" t="s">
        <v>15</v>
      </c>
      <c r="D18" s="6"/>
      <c r="E18" s="6"/>
    </row>
    <row r="19" customFormat="false" ht="15" hidden="false" customHeight="true" outlineLevel="0" collapsed="false">
      <c r="B19" s="9" t="s">
        <v>16</v>
      </c>
      <c r="C19" s="6" t="s">
        <v>17</v>
      </c>
      <c r="D19" s="6"/>
      <c r="E19" s="6"/>
    </row>
    <row r="20" customFormat="false" ht="15" hidden="false" customHeight="true" outlineLevel="0" collapsed="false">
      <c r="B20" s="10" t="s">
        <v>18</v>
      </c>
      <c r="C20" s="6" t="s">
        <v>19</v>
      </c>
      <c r="D20" s="6"/>
      <c r="E20" s="6"/>
    </row>
    <row r="21" customFormat="false" ht="15" hidden="false" customHeight="true" outlineLevel="0" collapsed="false">
      <c r="B21" s="11" t="s">
        <v>20</v>
      </c>
      <c r="C21" s="6" t="s">
        <v>21</v>
      </c>
      <c r="D21" s="6"/>
      <c r="E21" s="6"/>
    </row>
    <row r="22" customFormat="false" ht="15" hidden="false" customHeight="true" outlineLevel="0" collapsed="false">
      <c r="B22" s="12" t="s">
        <v>22</v>
      </c>
      <c r="C22" s="6" t="s">
        <v>23</v>
      </c>
      <c r="D22" s="6"/>
      <c r="E22" s="6"/>
    </row>
    <row r="23" customFormat="false" ht="15" hidden="false" customHeight="true" outlineLevel="0" collapsed="false">
      <c r="B23" s="13" t="s">
        <v>22</v>
      </c>
      <c r="C23" s="6" t="s">
        <v>24</v>
      </c>
      <c r="D23" s="6"/>
      <c r="E23" s="6"/>
    </row>
    <row r="24" customFormat="false" ht="15" hidden="false" customHeight="false" outlineLevel="0" collapsed="false">
      <c r="B24" s="14" t="s">
        <v>25</v>
      </c>
      <c r="C24" s="15" t="s">
        <v>26</v>
      </c>
      <c r="D24" s="15"/>
      <c r="E24" s="15"/>
    </row>
    <row r="26" customFormat="false" ht="15" hidden="false" customHeight="false" outlineLevel="0" collapsed="false">
      <c r="B26" s="4" t="s">
        <v>27</v>
      </c>
      <c r="C26" s="5"/>
      <c r="D26" s="5"/>
      <c r="E26" s="5"/>
    </row>
    <row r="27" customFormat="false" ht="15" hidden="false" customHeight="false" outlineLevel="0" collapsed="false">
      <c r="B27" s="16" t="s">
        <v>28</v>
      </c>
      <c r="C27" s="16" t="s">
        <v>29</v>
      </c>
      <c r="D27" s="16" t="s">
        <v>30</v>
      </c>
      <c r="E27" s="16" t="s">
        <v>31</v>
      </c>
    </row>
    <row r="28" customFormat="false" ht="15" hidden="false" customHeight="false" outlineLevel="0" collapsed="false">
      <c r="B28" s="17" t="s">
        <v>32</v>
      </c>
      <c r="C28" s="18" t="s">
        <v>33</v>
      </c>
      <c r="D28" s="19" t="s">
        <v>34</v>
      </c>
      <c r="E28" s="20"/>
    </row>
    <row r="29" customFormat="false" ht="15" hidden="false" customHeight="false" outlineLevel="0" collapsed="false">
      <c r="B29" s="17" t="s">
        <v>35</v>
      </c>
      <c r="C29" s="18" t="s">
        <v>36</v>
      </c>
      <c r="D29" s="19" t="s">
        <v>37</v>
      </c>
      <c r="E29" s="20" t="str">
        <f aca="false">"Escala "&amp;FIXED(Escala,2)&amp;" m/px · predio "&amp;FIXED(Area_plano,1)&amp;" ha"</f>
        <v>Escala 1.25 m/px · predio 34.0 ha</v>
      </c>
    </row>
    <row r="30" customFormat="false" ht="15" hidden="false" customHeight="false" outlineLevel="0" collapsed="false">
      <c r="B30" s="17" t="s">
        <v>38</v>
      </c>
      <c r="C30" s="18" t="s">
        <v>39</v>
      </c>
      <c r="D30" s="19" t="s">
        <v>40</v>
      </c>
      <c r="E30" s="20" t="str">
        <f aca="false">"Prismoide: "&amp;FIXED(Vpri_occ,0)&amp;" y "&amp;FIXED(Vpri_ori,0)&amp;" m³"</f>
        <v>Prismoide: 7,646 y 8,044 m³</v>
      </c>
    </row>
    <row r="31" customFormat="false" ht="15" hidden="false" customHeight="false" outlineLevel="0" collapsed="false">
      <c r="B31" s="17" t="s">
        <v>41</v>
      </c>
      <c r="C31" s="18" t="s">
        <v>39</v>
      </c>
      <c r="D31" s="19" t="s">
        <v>42</v>
      </c>
      <c r="E31" s="20" t="str">
        <f aca="false">"Demanda "&amp;FIXED(Dem_occ,0)&amp;" m³ por represa"</f>
        <v>Demanda 4,344 m³ por represa</v>
      </c>
    </row>
    <row r="32" customFormat="false" ht="15" hidden="false" customHeight="false" outlineLevel="0" collapsed="false">
      <c r="B32" s="17" t="s">
        <v>43</v>
      </c>
      <c r="C32" s="18" t="s">
        <v>39</v>
      </c>
      <c r="D32" s="19" t="s">
        <v>44</v>
      </c>
      <c r="E32" s="20" t="str">
        <f aca="false">"Al final: "&amp;FIXED(Nivel_fin_occ,2)&amp;" y "&amp;FIXED(Nivel_fin_ori,2)&amp;" m"</f>
        <v>Al final: 386.93 y 385.93 m</v>
      </c>
    </row>
    <row r="33" customFormat="false" ht="15" hidden="false" customHeight="false" outlineLevel="0" collapsed="false">
      <c r="B33" s="17" t="s">
        <v>45</v>
      </c>
      <c r="C33" s="18" t="s">
        <v>39</v>
      </c>
      <c r="D33" s="19" t="s">
        <v>46</v>
      </c>
      <c r="E33" s="20" t="str">
        <f aca="false">"Vertedero: "&amp;FIXED(Ancho_ha,2)&amp;" m por ha de cuenca"</f>
        <v>Vertedero: 0.50 m por ha de cuenca</v>
      </c>
    </row>
    <row r="34" customFormat="false" ht="15" hidden="false" customHeight="false" outlineLevel="0" collapsed="false">
      <c r="B34" s="17" t="s">
        <v>47</v>
      </c>
      <c r="C34" s="18" t="s">
        <v>39</v>
      </c>
      <c r="D34" s="19" t="s">
        <v>48</v>
      </c>
      <c r="E34" s="20" t="str">
        <f aca="false">"Llegada a la oriental: "&amp;FIXED(Llegada_ori,2)&amp;" m"</f>
        <v>Llegada a la oriental: 387.10 m</v>
      </c>
    </row>
    <row r="35" customFormat="false" ht="15" hidden="false" customHeight="false" outlineLevel="0" collapsed="false">
      <c r="B35" s="17" t="s">
        <v>49</v>
      </c>
      <c r="C35" s="18" t="s">
        <v>50</v>
      </c>
      <c r="D35" s="19" t="s">
        <v>51</v>
      </c>
      <c r="E35" s="20" t="str">
        <f aca="false">"Casa: "&amp;FIXED(Carga_casa,1)&amp;" m de carga"</f>
        <v>Casa: 3.7 m de carga</v>
      </c>
    </row>
    <row r="36" customFormat="false" ht="15" hidden="false" customHeight="false" outlineLevel="0" collapsed="false">
      <c r="B36" s="17" t="s">
        <v>52</v>
      </c>
      <c r="C36" s="18" t="s">
        <v>53</v>
      </c>
      <c r="D36" s="19" t="s">
        <v>54</v>
      </c>
      <c r="E36" s="20" t="str">
        <f aca="false">"Cacao: "&amp;FIXED(Area_cacao,2)&amp;" ha"</f>
        <v>Cacao: 1.77 ha</v>
      </c>
    </row>
    <row r="37" customFormat="false" ht="15" hidden="false" customHeight="false" outlineLevel="0" collapsed="false">
      <c r="B37" s="17" t="s">
        <v>55</v>
      </c>
      <c r="C37" s="18" t="s">
        <v>56</v>
      </c>
      <c r="D37" s="19" t="s">
        <v>57</v>
      </c>
      <c r="E37" s="20" t="str">
        <f aca="false">"Pastoreo: "&amp;FIXED(Area_pasto,1)&amp;" ha"</f>
        <v>Pastoreo: 27.6 ha</v>
      </c>
    </row>
    <row r="38" customFormat="false" ht="15" hidden="false" customHeight="false" outlineLevel="0" collapsed="false">
      <c r="B38" s="17" t="s">
        <v>58</v>
      </c>
      <c r="C38" s="18" t="s">
        <v>33</v>
      </c>
      <c r="D38" s="19" t="s">
        <v>59</v>
      </c>
      <c r="E38" s="20"/>
    </row>
    <row r="39" customFormat="false" ht="15" hidden="false" customHeight="false" outlineLevel="0" collapsed="false">
      <c r="B39" s="2" t="s">
        <v>60</v>
      </c>
    </row>
    <row r="41" customFormat="false" ht="15" hidden="false" customHeight="false" outlineLevel="0" collapsed="false">
      <c r="B41" s="4" t="s">
        <v>61</v>
      </c>
      <c r="C41" s="5"/>
      <c r="D41" s="5"/>
      <c r="E41" s="5"/>
    </row>
    <row r="42" customFormat="false" ht="30" hidden="false" customHeight="true" outlineLevel="0" collapsed="false">
      <c r="B42" s="21" t="str">
        <f aca="false">"1. Casa nueva: la nota de la diap. 47 dice 3,4 m por debajo del agua; con el agua a "&amp;FIXED(PK_ori,1)&amp;" m y la casa a "&amp;FIXED(Cota_casa,0)&amp;" m da "&amp;FIXED(Carga_casa,1)&amp;" m (hoja 11, fila 8)."</f>
        <v>1. Casa nueva: la nota de la diap. 47 dice 3,4 m por debajo del agua; con el agua a 386.7 m y la casa a 383 m da 3.7 m (hoja 11, fila 8).</v>
      </c>
      <c r="C42" s="21"/>
      <c r="D42" s="21"/>
      <c r="E42" s="21"/>
    </row>
    <row r="43" customFormat="false" ht="30" hidden="false" customHeight="true" outlineLevel="0" collapsed="false">
      <c r="B43" s="21" t="str">
        <f aca="false">"2. Evaporación + infiltración: la nota dice unos 4.400 m³; con 1 mm/día de infiltración (ejercicio 6) da "&amp;FIXED(Perd_occ,0)&amp;" m³ (hoja 11, fila 5)."</f>
        <v>2. Evaporación + infiltración: la nota dice unos 4.400 m³; con 1 mm/día de infiltración (ejercicio 6) da 4,104 m³ (hoja 11, fila 5).</v>
      </c>
      <c r="C43" s="21"/>
      <c r="D43" s="21"/>
      <c r="E43" s="21"/>
    </row>
    <row r="44" customFormat="false" ht="30" hidden="false" customHeight="true" outlineLevel="0" collapsed="false">
      <c r="B44" s="21" t="str">
        <f aca="false">"3. Bebedero B1, en P5: "&amp;Estado_B1&amp;". Está entre el canal occidental y la curva 390, por encima del agua de la represa occidental (hoja 8)."</f>
        <v>3. Bebedero B1, en P5: No: queda 1.3 m por encima del agua. Está entre el canal occidental y la curva 390, por encima del agua de la represa occidental (hoja 8).</v>
      </c>
      <c r="C44" s="21"/>
      <c r="D44" s="21"/>
      <c r="E44" s="21"/>
    </row>
    <row r="46" customFormat="false" ht="15" hidden="false" customHeight="false" outlineLevel="0" collapsed="false">
      <c r="B46" s="4" t="s">
        <v>62</v>
      </c>
      <c r="C46" s="5"/>
      <c r="D46" s="5"/>
      <c r="E46" s="5"/>
    </row>
    <row r="47" customFormat="false" ht="15" hidden="false" customHeight="true" outlineLevel="0" collapsed="false">
      <c r="B47" s="22" t="s">
        <v>63</v>
      </c>
      <c r="C47" s="22"/>
      <c r="D47" s="22"/>
      <c r="E47" s="22"/>
    </row>
    <row r="48" customFormat="false" ht="15" hidden="false" customHeight="true" outlineLevel="0" collapsed="false">
      <c r="B48" s="22" t="s">
        <v>64</v>
      </c>
      <c r="C48" s="22"/>
      <c r="D48" s="22"/>
      <c r="E48" s="22"/>
    </row>
    <row r="49" customFormat="false" ht="15" hidden="false" customHeight="true" outlineLevel="0" collapsed="false">
      <c r="B49" s="22" t="s">
        <v>65</v>
      </c>
      <c r="C49" s="22"/>
      <c r="D49" s="22"/>
      <c r="E49" s="22"/>
    </row>
  </sheetData>
  <mergeCells count="20">
    <mergeCell ref="B7:E7"/>
    <mergeCell ref="B8:E8"/>
    <mergeCell ref="B11:E11"/>
    <mergeCell ref="B12:E12"/>
    <mergeCell ref="B13:E13"/>
    <mergeCell ref="B14:E14"/>
    <mergeCell ref="C17:E17"/>
    <mergeCell ref="C18:E18"/>
    <mergeCell ref="C19:E19"/>
    <mergeCell ref="C20:E20"/>
    <mergeCell ref="C21:E21"/>
    <mergeCell ref="C22:E22"/>
    <mergeCell ref="C23:E23"/>
    <mergeCell ref="C24:E24"/>
    <mergeCell ref="B42:E42"/>
    <mergeCell ref="B43:E43"/>
    <mergeCell ref="B44:E44"/>
    <mergeCell ref="B47:E47"/>
    <mergeCell ref="B48:E48"/>
    <mergeCell ref="B49:E49"/>
  </mergeCells>
  <hyperlinks>
    <hyperlink ref="B28" r:id="rId1" location="'1 Datos'!A1" display="1 Datos"/>
    <hyperlink ref="B29" r:id="rId2" location="'2 Medir en el plano'!A1" display="2 Medir en el plano"/>
    <hyperlink ref="B30" r:id="rId3" location="'3 Volumen represas'!A1" display="3 Volumen represas"/>
    <hyperlink ref="B31" r:id="rId4" location="'4 Balance de verano'!A1" display="4 Balance de verano"/>
    <hyperlink ref="B32" r:id="rId5" location="'5 Simulación 120 días'!A1" display="5 Simulación 120 días"/>
    <hyperlink ref="B33" r:id="rId6" location="'6 Muros y vertederos'!A1" display="6 Muros y vertederos"/>
    <hyperlink ref="B34" r:id="rId7" location="'7 Canales 1 en 300'!A1" display="7 Canales 1 en 300"/>
    <hyperlink ref="B35" r:id="rId8" location="'8 Casa y bebederos'!A1" display="8 Casa y bebederos"/>
    <hyperlink ref="B36" r:id="rId9" location="'9 Árboles cacao ronda'!A1" display="9 Árboles cacao ronda"/>
    <hyperlink ref="B37" r:id="rId10" location="'10 Potreros'!A1" display="10 Potreros"/>
    <hyperlink ref="B38" r:id="rId11" location="'11 Verificación'!A1" display="11 Verificación"/>
  </hyperlink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true"/>
  </sheetPr>
  <dimension ref="B2:G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7"/>
    <col collapsed="false" customWidth="true" hidden="false" outlineLevel="0" max="3" min="3" style="0" width="46"/>
    <col collapsed="false" customWidth="true" hidden="false" outlineLevel="0" max="4" min="4" style="0" width="12"/>
    <col collapsed="false" customWidth="true" hidden="false" outlineLevel="0" max="5" min="5" style="0" width="16"/>
    <col collapsed="false" customWidth="true" hidden="false" outlineLevel="0" max="6" min="6" style="0" width="17"/>
    <col collapsed="false" customWidth="true" hidden="false" outlineLevel="0" max="7" min="7" style="0" width="70"/>
  </cols>
  <sheetData>
    <row r="2" customFormat="false" ht="18.55" hidden="false" customHeight="false" outlineLevel="0" collapsed="false">
      <c r="B2" s="23" t="s">
        <v>66</v>
      </c>
    </row>
    <row r="3" customFormat="false" ht="15" hidden="false" customHeight="false" outlineLevel="0" collapsed="false">
      <c r="B3" s="2" t="s">
        <v>67</v>
      </c>
    </row>
    <row r="5" customFormat="false" ht="15" hidden="false" customHeight="false" outlineLevel="0" collapsed="false">
      <c r="B5" s="16" t="s">
        <v>68</v>
      </c>
      <c r="C5" s="16" t="s">
        <v>69</v>
      </c>
      <c r="D5" s="16" t="s">
        <v>70</v>
      </c>
      <c r="E5" s="16" t="s">
        <v>71</v>
      </c>
      <c r="F5" s="16" t="s">
        <v>72</v>
      </c>
      <c r="G5" s="16" t="s">
        <v>73</v>
      </c>
    </row>
    <row r="6" customFormat="false" ht="15" hidden="false" customHeight="false" outlineLevel="0" collapsed="false">
      <c r="B6" s="4" t="s">
        <v>74</v>
      </c>
      <c r="C6" s="5"/>
      <c r="D6" s="5"/>
      <c r="E6" s="5"/>
      <c r="F6" s="5"/>
      <c r="G6" s="5"/>
    </row>
    <row r="7" customFormat="false" ht="28.5" hidden="false" customHeight="true" outlineLevel="0" collapsed="false">
      <c r="B7" s="3" t="s">
        <v>75</v>
      </c>
      <c r="C7" s="19" t="s">
        <v>76</v>
      </c>
      <c r="D7" s="24" t="n">
        <v>35</v>
      </c>
      <c r="E7" s="25" t="s">
        <v>77</v>
      </c>
      <c r="F7" s="26" t="s">
        <v>78</v>
      </c>
      <c r="G7" s="27" t="s">
        <v>79</v>
      </c>
    </row>
    <row r="8" customFormat="false" ht="15" hidden="false" customHeight="false" outlineLevel="0" collapsed="false">
      <c r="B8" s="3" t="s">
        <v>80</v>
      </c>
      <c r="C8" s="19" t="s">
        <v>81</v>
      </c>
      <c r="D8" s="24" t="n">
        <v>1</v>
      </c>
      <c r="E8" s="25" t="s">
        <v>82</v>
      </c>
      <c r="F8" s="26" t="s">
        <v>78</v>
      </c>
      <c r="G8" s="27" t="s">
        <v>83</v>
      </c>
    </row>
    <row r="9" customFormat="false" ht="15" hidden="false" customHeight="false" outlineLevel="0" collapsed="false">
      <c r="B9" s="3" t="s">
        <v>84</v>
      </c>
      <c r="C9" s="19" t="s">
        <v>85</v>
      </c>
      <c r="D9" s="24" t="n">
        <v>2500</v>
      </c>
      <c r="E9" s="25" t="s">
        <v>86</v>
      </c>
      <c r="F9" s="26" t="s">
        <v>78</v>
      </c>
      <c r="G9" s="27" t="s">
        <v>83</v>
      </c>
    </row>
    <row r="10" customFormat="false" ht="15" hidden="false" customHeight="false" outlineLevel="0" collapsed="false">
      <c r="B10" s="3" t="s">
        <v>87</v>
      </c>
      <c r="C10" s="19" t="s">
        <v>88</v>
      </c>
      <c r="D10" s="24" t="n">
        <v>120</v>
      </c>
      <c r="E10" s="25" t="s">
        <v>89</v>
      </c>
      <c r="F10" s="26" t="s">
        <v>78</v>
      </c>
      <c r="G10" s="27" t="s">
        <v>90</v>
      </c>
    </row>
    <row r="11" customFormat="false" ht="15" hidden="false" customHeight="false" outlineLevel="0" collapsed="false">
      <c r="B11" s="3" t="s">
        <v>91</v>
      </c>
      <c r="C11" s="19" t="s">
        <v>92</v>
      </c>
      <c r="D11" s="24" t="n">
        <v>40</v>
      </c>
      <c r="E11" s="25" t="s">
        <v>93</v>
      </c>
      <c r="F11" s="26" t="s">
        <v>78</v>
      </c>
      <c r="G11" s="27" t="s">
        <v>83</v>
      </c>
    </row>
    <row r="12" customFormat="false" ht="15" hidden="false" customHeight="false" outlineLevel="0" collapsed="false">
      <c r="B12" s="3" t="s">
        <v>94</v>
      </c>
      <c r="C12" s="19" t="s">
        <v>95</v>
      </c>
      <c r="D12" s="24" t="n">
        <v>2</v>
      </c>
      <c r="E12" s="25" t="s">
        <v>77</v>
      </c>
      <c r="F12" s="26" t="s">
        <v>78</v>
      </c>
      <c r="G12" s="27" t="s">
        <v>96</v>
      </c>
    </row>
    <row r="13" customFormat="false" ht="15" hidden="false" customHeight="false" outlineLevel="0" collapsed="false">
      <c r="B13" s="3" t="s">
        <v>97</v>
      </c>
      <c r="C13" s="19" t="s">
        <v>98</v>
      </c>
      <c r="D13" s="24" t="n">
        <v>12</v>
      </c>
      <c r="E13" s="25" t="s">
        <v>99</v>
      </c>
      <c r="F13" s="26" t="s">
        <v>78</v>
      </c>
      <c r="G13" s="27" t="s">
        <v>83</v>
      </c>
    </row>
    <row r="14" customFormat="false" ht="15" hidden="false" customHeight="false" outlineLevel="0" collapsed="false">
      <c r="B14" s="4" t="s">
        <v>100</v>
      </c>
      <c r="C14" s="5"/>
      <c r="D14" s="5"/>
      <c r="E14" s="5"/>
      <c r="F14" s="5"/>
      <c r="G14" s="5"/>
    </row>
    <row r="15" customFormat="false" ht="15" hidden="false" customHeight="false" outlineLevel="0" collapsed="false">
      <c r="B15" s="3" t="s">
        <v>101</v>
      </c>
      <c r="C15" s="19" t="s">
        <v>102</v>
      </c>
      <c r="D15" s="24" t="n">
        <v>50</v>
      </c>
      <c r="E15" s="25" t="s">
        <v>103</v>
      </c>
      <c r="F15" s="26" t="s">
        <v>78</v>
      </c>
      <c r="G15" s="27" t="s">
        <v>104</v>
      </c>
    </row>
    <row r="16" customFormat="false" ht="15" hidden="false" customHeight="false" outlineLevel="0" collapsed="false">
      <c r="B16" s="3" t="s">
        <v>105</v>
      </c>
      <c r="C16" s="19" t="s">
        <v>106</v>
      </c>
      <c r="D16" s="24" t="n">
        <v>5</v>
      </c>
      <c r="E16" s="25" t="s">
        <v>107</v>
      </c>
      <c r="F16" s="26" t="s">
        <v>78</v>
      </c>
      <c r="G16" s="27" t="s">
        <v>108</v>
      </c>
    </row>
    <row r="17" customFormat="false" ht="15" hidden="false" customHeight="false" outlineLevel="0" collapsed="false">
      <c r="B17" s="3" t="s">
        <v>109</v>
      </c>
      <c r="C17" s="19" t="s">
        <v>110</v>
      </c>
      <c r="D17" s="24" t="n">
        <v>1</v>
      </c>
      <c r="E17" s="25" t="s">
        <v>107</v>
      </c>
      <c r="F17" s="26" t="s">
        <v>78</v>
      </c>
      <c r="G17" s="27" t="s">
        <v>111</v>
      </c>
    </row>
    <row r="18" customFormat="false" ht="15" hidden="false" customHeight="false" outlineLevel="0" collapsed="false">
      <c r="B18" s="3" t="s">
        <v>112</v>
      </c>
      <c r="C18" s="19" t="s">
        <v>113</v>
      </c>
      <c r="D18" s="24" t="n">
        <v>0.3</v>
      </c>
      <c r="E18" s="25" t="s">
        <v>114</v>
      </c>
      <c r="F18" s="26" t="s">
        <v>78</v>
      </c>
      <c r="G18" s="27" t="s">
        <v>111</v>
      </c>
    </row>
    <row r="19" customFormat="false" ht="28.5" hidden="false" customHeight="true" outlineLevel="0" collapsed="false">
      <c r="B19" s="3" t="s">
        <v>115</v>
      </c>
      <c r="C19" s="19" t="s">
        <v>116</v>
      </c>
      <c r="D19" s="24" t="n">
        <v>0.5</v>
      </c>
      <c r="E19" s="25" t="s">
        <v>114</v>
      </c>
      <c r="F19" s="26" t="s">
        <v>78</v>
      </c>
      <c r="G19" s="27" t="s">
        <v>111</v>
      </c>
    </row>
    <row r="20" customFormat="false" ht="15" hidden="false" customHeight="false" outlineLevel="0" collapsed="false">
      <c r="B20" s="3" t="s">
        <v>117</v>
      </c>
      <c r="C20" s="19" t="s">
        <v>118</v>
      </c>
      <c r="D20" s="24" t="n">
        <v>100</v>
      </c>
      <c r="E20" s="25" t="s">
        <v>119</v>
      </c>
      <c r="F20" s="26" t="s">
        <v>78</v>
      </c>
      <c r="G20" s="27" t="s">
        <v>111</v>
      </c>
    </row>
    <row r="21" customFormat="false" ht="15" hidden="false" customHeight="false" outlineLevel="0" collapsed="false">
      <c r="B21" s="4" t="s">
        <v>120</v>
      </c>
      <c r="C21" s="5"/>
      <c r="D21" s="5"/>
      <c r="E21" s="5"/>
      <c r="F21" s="5"/>
      <c r="G21" s="5"/>
    </row>
    <row r="22" customFormat="false" ht="28.5" hidden="false" customHeight="true" outlineLevel="0" collapsed="false">
      <c r="B22" s="3" t="s">
        <v>121</v>
      </c>
      <c r="C22" s="19" t="s">
        <v>122</v>
      </c>
      <c r="D22" s="24" t="n">
        <v>387.7</v>
      </c>
      <c r="E22" s="25" t="s">
        <v>82</v>
      </c>
      <c r="F22" s="26" t="s">
        <v>78</v>
      </c>
      <c r="G22" s="27" t="s">
        <v>123</v>
      </c>
    </row>
    <row r="23" customFormat="false" ht="28.5" hidden="false" customHeight="true" outlineLevel="0" collapsed="false">
      <c r="B23" s="3" t="s">
        <v>124</v>
      </c>
      <c r="C23" s="19" t="s">
        <v>125</v>
      </c>
      <c r="D23" s="24" t="n">
        <v>386.7</v>
      </c>
      <c r="E23" s="25" t="s">
        <v>82</v>
      </c>
      <c r="F23" s="26" t="s">
        <v>78</v>
      </c>
      <c r="G23" s="27" t="s">
        <v>126</v>
      </c>
    </row>
    <row r="24" customFormat="false" ht="15" hidden="false" customHeight="false" outlineLevel="0" collapsed="false">
      <c r="B24" s="3" t="s">
        <v>127</v>
      </c>
      <c r="C24" s="19" t="s">
        <v>128</v>
      </c>
      <c r="D24" s="24" t="n">
        <v>5700</v>
      </c>
      <c r="E24" s="25" t="s">
        <v>129</v>
      </c>
      <c r="F24" s="26" t="s">
        <v>78</v>
      </c>
      <c r="G24" s="27" t="s">
        <v>130</v>
      </c>
    </row>
    <row r="25" customFormat="false" ht="15" hidden="false" customHeight="false" outlineLevel="0" collapsed="false">
      <c r="B25" s="3" t="s">
        <v>131</v>
      </c>
      <c r="C25" s="19" t="s">
        <v>132</v>
      </c>
      <c r="D25" s="24" t="n">
        <v>5700</v>
      </c>
      <c r="E25" s="25" t="s">
        <v>129</v>
      </c>
      <c r="F25" s="26" t="s">
        <v>78</v>
      </c>
      <c r="G25" s="27" t="s">
        <v>130</v>
      </c>
    </row>
    <row r="26" customFormat="false" ht="15" hidden="false" customHeight="false" outlineLevel="0" collapsed="false">
      <c r="B26" s="3" t="s">
        <v>133</v>
      </c>
      <c r="C26" s="19" t="s">
        <v>134</v>
      </c>
      <c r="D26" s="24" t="n">
        <v>3.3</v>
      </c>
      <c r="E26" s="25" t="s">
        <v>82</v>
      </c>
      <c r="F26" s="26" t="s">
        <v>78</v>
      </c>
      <c r="G26" s="27" t="s">
        <v>135</v>
      </c>
    </row>
    <row r="27" customFormat="false" ht="15" hidden="false" customHeight="false" outlineLevel="0" collapsed="false">
      <c r="B27" s="3" t="s">
        <v>136</v>
      </c>
      <c r="C27" s="19" t="s">
        <v>137</v>
      </c>
      <c r="D27" s="24" t="n">
        <v>3.6</v>
      </c>
      <c r="E27" s="25" t="s">
        <v>82</v>
      </c>
      <c r="F27" s="26" t="s">
        <v>78</v>
      </c>
      <c r="G27" s="27" t="s">
        <v>135</v>
      </c>
    </row>
    <row r="28" customFormat="false" ht="28.5" hidden="false" customHeight="true" outlineLevel="0" collapsed="false">
      <c r="B28" s="3" t="s">
        <v>138</v>
      </c>
      <c r="C28" s="19" t="s">
        <v>139</v>
      </c>
      <c r="D28" s="24" t="n">
        <v>7600</v>
      </c>
      <c r="E28" s="25" t="s">
        <v>140</v>
      </c>
      <c r="F28" s="26" t="s">
        <v>78</v>
      </c>
      <c r="G28" s="27" t="s">
        <v>141</v>
      </c>
    </row>
    <row r="29" customFormat="false" ht="28.5" hidden="false" customHeight="true" outlineLevel="0" collapsed="false">
      <c r="B29" s="3" t="s">
        <v>142</v>
      </c>
      <c r="C29" s="19" t="s">
        <v>143</v>
      </c>
      <c r="D29" s="24" t="n">
        <v>8000</v>
      </c>
      <c r="E29" s="25" t="s">
        <v>140</v>
      </c>
      <c r="F29" s="26" t="s">
        <v>78</v>
      </c>
      <c r="G29" s="27" t="s">
        <v>144</v>
      </c>
    </row>
    <row r="30" customFormat="false" ht="28.5" hidden="false" customHeight="true" outlineLevel="0" collapsed="false">
      <c r="B30" s="3" t="s">
        <v>145</v>
      </c>
      <c r="C30" s="19" t="s">
        <v>146</v>
      </c>
      <c r="D30" s="24" t="n">
        <v>0.9</v>
      </c>
      <c r="E30" s="25" t="s">
        <v>82</v>
      </c>
      <c r="F30" s="26" t="s">
        <v>78</v>
      </c>
      <c r="G30" s="27" t="s">
        <v>147</v>
      </c>
    </row>
    <row r="31" customFormat="false" ht="28.5" hidden="false" customHeight="true" outlineLevel="0" collapsed="false">
      <c r="B31" s="3" t="s">
        <v>148</v>
      </c>
      <c r="C31" s="19" t="s">
        <v>149</v>
      </c>
      <c r="D31" s="24" t="n">
        <v>8</v>
      </c>
      <c r="E31" s="25" t="s">
        <v>82</v>
      </c>
      <c r="F31" s="26" t="s">
        <v>78</v>
      </c>
      <c r="G31" s="27" t="s">
        <v>150</v>
      </c>
    </row>
    <row r="32" customFormat="false" ht="15" hidden="false" customHeight="false" outlineLevel="0" collapsed="false">
      <c r="B32" s="4" t="s">
        <v>151</v>
      </c>
      <c r="C32" s="5"/>
      <c r="D32" s="5"/>
      <c r="E32" s="5"/>
      <c r="F32" s="5"/>
      <c r="G32" s="5"/>
    </row>
    <row r="33" customFormat="false" ht="28.5" hidden="false" customHeight="true" outlineLevel="0" collapsed="false">
      <c r="B33" s="3" t="s">
        <v>152</v>
      </c>
      <c r="C33" s="19" t="s">
        <v>153</v>
      </c>
      <c r="D33" s="24" t="n">
        <v>300</v>
      </c>
      <c r="E33" s="25" t="s">
        <v>82</v>
      </c>
      <c r="F33" s="26" t="s">
        <v>78</v>
      </c>
      <c r="G33" s="27" t="s">
        <v>154</v>
      </c>
    </row>
    <row r="34" customFormat="false" ht="28.5" hidden="false" customHeight="true" outlineLevel="0" collapsed="false">
      <c r="B34" s="3" t="s">
        <v>155</v>
      </c>
      <c r="C34" s="19" t="s">
        <v>156</v>
      </c>
      <c r="D34" s="24" t="n">
        <v>220</v>
      </c>
      <c r="E34" s="25" t="s">
        <v>82</v>
      </c>
      <c r="F34" s="26" t="s">
        <v>78</v>
      </c>
      <c r="G34" s="27" t="s">
        <v>157</v>
      </c>
    </row>
    <row r="35" customFormat="false" ht="15" hidden="false" customHeight="false" outlineLevel="0" collapsed="false">
      <c r="B35" s="3" t="s">
        <v>158</v>
      </c>
      <c r="C35" s="19" t="s">
        <v>159</v>
      </c>
      <c r="D35" s="24" t="n">
        <v>180</v>
      </c>
      <c r="E35" s="25" t="s">
        <v>82</v>
      </c>
      <c r="F35" s="26" t="s">
        <v>78</v>
      </c>
      <c r="G35" s="27" t="s">
        <v>160</v>
      </c>
    </row>
    <row r="36" customFormat="false" ht="15" hidden="false" customHeight="false" outlineLevel="0" collapsed="false">
      <c r="B36" s="3" t="s">
        <v>161</v>
      </c>
      <c r="C36" s="19" t="s">
        <v>162</v>
      </c>
      <c r="D36" s="24" t="n">
        <v>0.035</v>
      </c>
      <c r="E36" s="25" t="s">
        <v>114</v>
      </c>
      <c r="F36" s="26" t="s">
        <v>78</v>
      </c>
      <c r="G36" s="27" t="s">
        <v>163</v>
      </c>
    </row>
    <row r="37" customFormat="false" ht="15" hidden="false" customHeight="false" outlineLevel="0" collapsed="false">
      <c r="B37" s="3" t="s">
        <v>164</v>
      </c>
      <c r="C37" s="19" t="s">
        <v>165</v>
      </c>
      <c r="D37" s="24" t="n">
        <v>0.5</v>
      </c>
      <c r="E37" s="25" t="s">
        <v>82</v>
      </c>
      <c r="F37" s="26" t="s">
        <v>78</v>
      </c>
      <c r="G37" s="27" t="s">
        <v>166</v>
      </c>
    </row>
    <row r="38" customFormat="false" ht="15" hidden="false" customHeight="false" outlineLevel="0" collapsed="false">
      <c r="B38" s="3" t="s">
        <v>167</v>
      </c>
      <c r="C38" s="19" t="s">
        <v>168</v>
      </c>
      <c r="D38" s="24" t="n">
        <v>0.3</v>
      </c>
      <c r="E38" s="25" t="s">
        <v>82</v>
      </c>
      <c r="F38" s="26" t="s">
        <v>78</v>
      </c>
      <c r="G38" s="27" t="s">
        <v>166</v>
      </c>
    </row>
    <row r="39" customFormat="false" ht="28.5" hidden="false" customHeight="true" outlineLevel="0" collapsed="false">
      <c r="B39" s="3" t="s">
        <v>169</v>
      </c>
      <c r="C39" s="19" t="s">
        <v>170</v>
      </c>
      <c r="D39" s="24" t="n">
        <v>1</v>
      </c>
      <c r="E39" s="25" t="s">
        <v>171</v>
      </c>
      <c r="F39" s="26" t="s">
        <v>78</v>
      </c>
      <c r="G39" s="27" t="s">
        <v>166</v>
      </c>
    </row>
    <row r="40" customFormat="false" ht="28.5" hidden="false" customHeight="true" outlineLevel="0" collapsed="false">
      <c r="B40" s="3" t="s">
        <v>172</v>
      </c>
      <c r="C40" s="19" t="s">
        <v>173</v>
      </c>
      <c r="D40" s="28" t="s">
        <v>174</v>
      </c>
      <c r="E40" s="25"/>
      <c r="F40" s="26" t="s">
        <v>175</v>
      </c>
      <c r="G40" s="27" t="s">
        <v>176</v>
      </c>
    </row>
    <row r="41" customFormat="false" ht="15" hidden="false" customHeight="false" outlineLevel="0" collapsed="false">
      <c r="B41" s="4" t="s">
        <v>177</v>
      </c>
      <c r="C41" s="5"/>
      <c r="D41" s="5"/>
      <c r="E41" s="5"/>
      <c r="F41" s="5"/>
      <c r="G41" s="5"/>
    </row>
    <row r="42" customFormat="false" ht="15" hidden="false" customHeight="false" outlineLevel="0" collapsed="false">
      <c r="B42" s="3" t="s">
        <v>178</v>
      </c>
      <c r="C42" s="19" t="s">
        <v>179</v>
      </c>
      <c r="D42" s="24" t="n">
        <v>12</v>
      </c>
      <c r="E42" s="25" t="s">
        <v>82</v>
      </c>
      <c r="F42" s="26" t="s">
        <v>78</v>
      </c>
      <c r="G42" s="27" t="s">
        <v>180</v>
      </c>
    </row>
    <row r="43" customFormat="false" ht="15" hidden="false" customHeight="false" outlineLevel="0" collapsed="false">
      <c r="B43" s="3" t="s">
        <v>181</v>
      </c>
      <c r="C43" s="19" t="s">
        <v>182</v>
      </c>
      <c r="D43" s="24" t="n">
        <v>30</v>
      </c>
      <c r="E43" s="25" t="s">
        <v>82</v>
      </c>
      <c r="F43" s="26" t="s">
        <v>78</v>
      </c>
      <c r="G43" s="27" t="s">
        <v>183</v>
      </c>
    </row>
    <row r="44" customFormat="false" ht="15" hidden="false" customHeight="false" outlineLevel="0" collapsed="false">
      <c r="B44" s="3" t="s">
        <v>184</v>
      </c>
      <c r="C44" s="19" t="s">
        <v>185</v>
      </c>
      <c r="D44" s="24" t="n">
        <v>383</v>
      </c>
      <c r="E44" s="25" t="s">
        <v>82</v>
      </c>
      <c r="F44" s="26" t="s">
        <v>78</v>
      </c>
      <c r="G44" s="27" t="s">
        <v>186</v>
      </c>
    </row>
    <row r="45" customFormat="false" ht="15" hidden="false" customHeight="false" outlineLevel="0" collapsed="false">
      <c r="B45" s="3" t="s">
        <v>187</v>
      </c>
      <c r="C45" s="19" t="s">
        <v>188</v>
      </c>
      <c r="D45" s="29" t="n">
        <v>370</v>
      </c>
      <c r="E45" s="25" t="s">
        <v>82</v>
      </c>
      <c r="F45" s="26" t="s">
        <v>189</v>
      </c>
      <c r="G45" s="27" t="s">
        <v>190</v>
      </c>
    </row>
    <row r="46" customFormat="false" ht="28.5" hidden="false" customHeight="true" outlineLevel="0" collapsed="false">
      <c r="B46" s="3" t="s">
        <v>191</v>
      </c>
      <c r="C46" s="19" t="s">
        <v>192</v>
      </c>
      <c r="D46" s="29" t="n">
        <v>412</v>
      </c>
      <c r="E46" s="25" t="s">
        <v>82</v>
      </c>
      <c r="F46" s="26" t="s">
        <v>189</v>
      </c>
      <c r="G46" s="27" t="s">
        <v>193</v>
      </c>
    </row>
    <row r="47" customFormat="false" ht="15" hidden="false" customHeight="false" outlineLevel="0" collapsed="false">
      <c r="B47" s="4" t="s">
        <v>194</v>
      </c>
      <c r="C47" s="5"/>
      <c r="D47" s="5"/>
      <c r="E47" s="5"/>
      <c r="F47" s="5"/>
      <c r="G47" s="5"/>
    </row>
    <row r="48" customFormat="false" ht="15" hidden="false" customHeight="false" outlineLevel="0" collapsed="false">
      <c r="B48" s="3" t="s">
        <v>195</v>
      </c>
      <c r="C48" s="19" t="s">
        <v>196</v>
      </c>
      <c r="D48" s="24" t="n">
        <v>100</v>
      </c>
      <c r="E48" s="25" t="s">
        <v>82</v>
      </c>
      <c r="F48" s="26" t="s">
        <v>78</v>
      </c>
      <c r="G48" s="27" t="s">
        <v>197</v>
      </c>
    </row>
    <row r="49" customFormat="false" ht="28.5" hidden="false" customHeight="true" outlineLevel="0" collapsed="false">
      <c r="B49" s="3" t="s">
        <v>198</v>
      </c>
      <c r="C49" s="19" t="s">
        <v>199</v>
      </c>
      <c r="D49" s="29" t="n">
        <v>80</v>
      </c>
      <c r="E49" s="25" t="s">
        <v>200</v>
      </c>
      <c r="F49" s="26" t="s">
        <v>189</v>
      </c>
      <c r="G49" s="27" t="s">
        <v>201</v>
      </c>
    </row>
    <row r="50" customFormat="false" ht="15" hidden="false" customHeight="false" outlineLevel="0" collapsed="false">
      <c r="B50" s="4" t="s">
        <v>202</v>
      </c>
      <c r="C50" s="5"/>
      <c r="D50" s="5"/>
      <c r="E50" s="5"/>
      <c r="F50" s="5"/>
      <c r="G50" s="5"/>
    </row>
    <row r="51" customFormat="false" ht="28.5" hidden="false" customHeight="true" outlineLevel="0" collapsed="false">
      <c r="B51" s="3" t="s">
        <v>203</v>
      </c>
      <c r="C51" s="19" t="s">
        <v>204</v>
      </c>
      <c r="D51" s="28" t="n">
        <v>0.4</v>
      </c>
      <c r="E51" s="25" t="s">
        <v>114</v>
      </c>
      <c r="F51" s="26" t="s">
        <v>175</v>
      </c>
      <c r="G51" s="27" t="s">
        <v>205</v>
      </c>
    </row>
    <row r="52" customFormat="false" ht="28.5" hidden="false" customHeight="true" outlineLevel="0" collapsed="false">
      <c r="B52" s="3" t="s">
        <v>206</v>
      </c>
      <c r="C52" s="19" t="s">
        <v>207</v>
      </c>
      <c r="D52" s="28" t="n">
        <v>3</v>
      </c>
      <c r="E52" s="25" t="s">
        <v>82</v>
      </c>
      <c r="F52" s="26" t="s">
        <v>175</v>
      </c>
      <c r="G52" s="27" t="s">
        <v>208</v>
      </c>
    </row>
    <row r="53" customFormat="false" ht="28.5" hidden="false" customHeight="true" outlineLevel="0" collapsed="false">
      <c r="B53" s="3" t="s">
        <v>209</v>
      </c>
      <c r="C53" s="19" t="s">
        <v>210</v>
      </c>
      <c r="D53" s="28" t="n">
        <v>2</v>
      </c>
      <c r="E53" s="25" t="s">
        <v>171</v>
      </c>
      <c r="F53" s="26" t="s">
        <v>175</v>
      </c>
      <c r="G53" s="27" t="s">
        <v>211</v>
      </c>
    </row>
    <row r="54" customFormat="false" ht="28.5" hidden="false" customHeight="true" outlineLevel="0" collapsed="false">
      <c r="B54" s="3" t="s">
        <v>212</v>
      </c>
      <c r="C54" s="19" t="s">
        <v>213</v>
      </c>
      <c r="D54" s="28" t="n">
        <v>0.3</v>
      </c>
      <c r="E54" s="25" t="s">
        <v>82</v>
      </c>
      <c r="F54" s="26" t="s">
        <v>175</v>
      </c>
      <c r="G54" s="27" t="s">
        <v>214</v>
      </c>
    </row>
    <row r="55" customFormat="false" ht="28.5" hidden="false" customHeight="true" outlineLevel="0" collapsed="false">
      <c r="B55" s="3" t="s">
        <v>215</v>
      </c>
      <c r="C55" s="19" t="s">
        <v>216</v>
      </c>
      <c r="D55" s="28" t="n">
        <v>1.7</v>
      </c>
      <c r="E55" s="25" t="s">
        <v>114</v>
      </c>
      <c r="F55" s="26" t="s">
        <v>175</v>
      </c>
      <c r="G55" s="27" t="s">
        <v>217</v>
      </c>
    </row>
    <row r="56" customFormat="false" ht="28.5" hidden="false" customHeight="true" outlineLevel="0" collapsed="false">
      <c r="B56" s="3" t="s">
        <v>218</v>
      </c>
      <c r="C56" s="19" t="s">
        <v>219</v>
      </c>
      <c r="D56" s="28" t="n">
        <v>3</v>
      </c>
      <c r="E56" s="25" t="s">
        <v>82</v>
      </c>
      <c r="F56" s="26" t="s">
        <v>175</v>
      </c>
      <c r="G56" s="27" t="s">
        <v>220</v>
      </c>
    </row>
    <row r="57" customFormat="false" ht="15" hidden="false" customHeight="false" outlineLevel="0" collapsed="false">
      <c r="B57" s="3" t="s">
        <v>221</v>
      </c>
      <c r="C57" s="19" t="s">
        <v>222</v>
      </c>
      <c r="D57" s="28" t="n">
        <v>10</v>
      </c>
      <c r="E57" s="25" t="s">
        <v>82</v>
      </c>
      <c r="F57" s="26" t="s">
        <v>175</v>
      </c>
      <c r="G57" s="27" t="s">
        <v>223</v>
      </c>
    </row>
    <row r="58" customFormat="false" ht="15" hidden="false" customHeight="false" outlineLevel="0" collapsed="false">
      <c r="B58" s="3" t="s">
        <v>224</v>
      </c>
      <c r="C58" s="19" t="s">
        <v>225</v>
      </c>
      <c r="D58" s="28" t="n">
        <v>4</v>
      </c>
      <c r="E58" s="25" t="s">
        <v>82</v>
      </c>
      <c r="F58" s="26" t="s">
        <v>175</v>
      </c>
      <c r="G58" s="27" t="s">
        <v>226</v>
      </c>
    </row>
    <row r="59" customFormat="false" ht="15" hidden="false" customHeight="false" outlineLevel="0" collapsed="false">
      <c r="B59" s="3" t="s">
        <v>227</v>
      </c>
      <c r="C59" s="19" t="s">
        <v>228</v>
      </c>
      <c r="D59" s="28" t="n">
        <v>0.2</v>
      </c>
      <c r="E59" s="25" t="s">
        <v>77</v>
      </c>
      <c r="F59" s="26" t="s">
        <v>175</v>
      </c>
      <c r="G59" s="27" t="s">
        <v>226</v>
      </c>
    </row>
    <row r="60" customFormat="false" ht="15" hidden="false" customHeight="false" outlineLevel="0" collapsed="false">
      <c r="B60" s="3" t="s">
        <v>229</v>
      </c>
      <c r="C60" s="19" t="s">
        <v>230</v>
      </c>
      <c r="D60" s="28" t="n">
        <v>35</v>
      </c>
      <c r="E60" s="25" t="s">
        <v>89</v>
      </c>
      <c r="F60" s="26" t="s">
        <v>175</v>
      </c>
      <c r="G60" s="27" t="s">
        <v>231</v>
      </c>
    </row>
    <row r="61" customFormat="false" ht="28.5" hidden="false" customHeight="true" outlineLevel="0" collapsed="false">
      <c r="B61" s="3" t="s">
        <v>232</v>
      </c>
      <c r="C61" s="19" t="s">
        <v>233</v>
      </c>
      <c r="D61" s="28" t="n">
        <v>1</v>
      </c>
      <c r="E61" s="25" t="s">
        <v>82</v>
      </c>
      <c r="F61" s="26" t="s">
        <v>175</v>
      </c>
      <c r="G61" s="27" t="s">
        <v>234</v>
      </c>
    </row>
    <row r="62" customFormat="false" ht="15" hidden="false" customHeight="false" outlineLevel="0" collapsed="false">
      <c r="B62" s="3" t="s">
        <v>235</v>
      </c>
      <c r="C62" s="19" t="s">
        <v>236</v>
      </c>
      <c r="D62" s="28" t="n">
        <v>0.2</v>
      </c>
      <c r="E62" s="25" t="s">
        <v>237</v>
      </c>
      <c r="F62" s="26" t="s">
        <v>175</v>
      </c>
      <c r="G62" s="27" t="s">
        <v>238</v>
      </c>
    </row>
    <row r="63" customFormat="false" ht="28.5" hidden="false" customHeight="true" outlineLevel="0" collapsed="false">
      <c r="B63" s="3" t="s">
        <v>239</v>
      </c>
      <c r="C63" s="19" t="s">
        <v>240</v>
      </c>
      <c r="D63" s="28" t="n">
        <v>25</v>
      </c>
      <c r="E63" s="25" t="s">
        <v>241</v>
      </c>
      <c r="F63" s="26" t="s">
        <v>175</v>
      </c>
      <c r="G63" s="27" t="s">
        <v>242</v>
      </c>
    </row>
    <row r="64" customFormat="false" ht="15" hidden="false" customHeight="false" outlineLevel="0" collapsed="false">
      <c r="B64" s="3" t="s">
        <v>243</v>
      </c>
      <c r="C64" s="19" t="s">
        <v>244</v>
      </c>
      <c r="D64" s="28" t="n">
        <v>150</v>
      </c>
      <c r="E64" s="25" t="s">
        <v>114</v>
      </c>
      <c r="F64" s="26" t="s">
        <v>175</v>
      </c>
      <c r="G64" s="27" t="s">
        <v>245</v>
      </c>
    </row>
    <row r="65" customFormat="false" ht="28.5" hidden="false" customHeight="true" outlineLevel="0" collapsed="false">
      <c r="B65" s="3" t="s">
        <v>246</v>
      </c>
      <c r="C65" s="19" t="s">
        <v>247</v>
      </c>
      <c r="D65" s="28" t="n">
        <v>1.2</v>
      </c>
      <c r="E65" s="25" t="s">
        <v>114</v>
      </c>
      <c r="F65" s="26" t="s">
        <v>175</v>
      </c>
      <c r="G65" s="27" t="s">
        <v>248</v>
      </c>
    </row>
    <row r="66" customFormat="false" ht="15" hidden="false" customHeight="false" outlineLevel="0" collapsed="false">
      <c r="B66" s="3" t="s">
        <v>249</v>
      </c>
      <c r="C66" s="19" t="s">
        <v>250</v>
      </c>
      <c r="D66" s="28" t="n">
        <v>3</v>
      </c>
      <c r="E66" s="25" t="s">
        <v>82</v>
      </c>
      <c r="F66" s="26" t="s">
        <v>175</v>
      </c>
      <c r="G66" s="27" t="s">
        <v>251</v>
      </c>
    </row>
    <row r="67" customFormat="false" ht="28.5" hidden="false" customHeight="true" outlineLevel="0" collapsed="false">
      <c r="B67" s="3" t="s">
        <v>252</v>
      </c>
      <c r="C67" s="19" t="s">
        <v>253</v>
      </c>
      <c r="D67" s="30" t="n">
        <v>0.05</v>
      </c>
      <c r="E67" s="25" t="s">
        <v>254</v>
      </c>
      <c r="F67" s="26" t="s">
        <v>175</v>
      </c>
      <c r="G67" s="27" t="s">
        <v>255</v>
      </c>
    </row>
    <row r="69" customFormat="false" ht="15" hidden="false" customHeight="false" outlineLevel="0" collapsed="false">
      <c r="B69" s="4" t="s">
        <v>256</v>
      </c>
      <c r="C69" s="5"/>
      <c r="D69" s="5"/>
      <c r="E69" s="5"/>
      <c r="F69" s="5"/>
      <c r="G69" s="5"/>
    </row>
    <row r="70" customFormat="false" ht="15" hidden="false" customHeight="false" outlineLevel="0" collapsed="false">
      <c r="B70" s="16"/>
      <c r="C70" s="16" t="s">
        <v>257</v>
      </c>
      <c r="D70" s="16" t="s">
        <v>258</v>
      </c>
      <c r="E70" s="16"/>
      <c r="F70" s="16"/>
      <c r="G70" s="16" t="s">
        <v>259</v>
      </c>
    </row>
    <row r="71" customFormat="false" ht="15" hidden="false" customHeight="false" outlineLevel="0" collapsed="false">
      <c r="C71" s="18" t="s">
        <v>260</v>
      </c>
      <c r="D71" s="31" t="n">
        <v>0.45</v>
      </c>
      <c r="G71" s="26"/>
    </row>
    <row r="72" customFormat="false" ht="15" hidden="false" customHeight="false" outlineLevel="0" collapsed="false">
      <c r="C72" s="18" t="s">
        <v>261</v>
      </c>
      <c r="D72" s="31" t="n">
        <v>0.53</v>
      </c>
      <c r="G72" s="26"/>
    </row>
    <row r="73" customFormat="false" ht="15" hidden="false" customHeight="false" outlineLevel="0" collapsed="false">
      <c r="C73" s="18" t="s">
        <v>262</v>
      </c>
      <c r="D73" s="31" t="n">
        <v>0.6</v>
      </c>
      <c r="G73" s="26"/>
    </row>
    <row r="74" customFormat="false" ht="15" hidden="false" customHeight="false" outlineLevel="0" collapsed="false">
      <c r="C74" s="18" t="s">
        <v>174</v>
      </c>
      <c r="D74" s="31" t="n">
        <v>0.76</v>
      </c>
      <c r="G74" s="26"/>
    </row>
    <row r="75" customFormat="false" ht="15" hidden="false" customHeight="false" outlineLevel="0" collapsed="false">
      <c r="C75" s="18" t="s">
        <v>263</v>
      </c>
      <c r="D75" s="31" t="n">
        <v>1.14</v>
      </c>
      <c r="G75" s="26"/>
    </row>
    <row r="76" customFormat="false" ht="15" hidden="false" customHeight="false" outlineLevel="0" collapsed="false">
      <c r="C76" s="18" t="s">
        <v>264</v>
      </c>
      <c r="D76" s="31" t="n">
        <v>1.22</v>
      </c>
      <c r="G76" s="26"/>
    </row>
    <row r="77" customFormat="false" ht="15" hidden="false" customHeight="false" outlineLevel="0" collapsed="false">
      <c r="C77" s="18" t="s">
        <v>265</v>
      </c>
      <c r="D77" s="31" t="n">
        <v>1.2</v>
      </c>
      <c r="G77" s="26" t="s">
        <v>266</v>
      </c>
    </row>
  </sheetData>
  <dataValidations count="1">
    <dataValidation allowBlank="false" errorStyle="stop" operator="between" showDropDown="false" showErrorMessage="false" showInputMessage="false" sqref="D40" type="list">
      <formula1>$C$71:$C$77</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40"/>
    <col collapsed="false" customWidth="true" hidden="false" outlineLevel="0" max="7" min="4" style="0" width="13"/>
    <col collapsed="false" customWidth="true" hidden="false" outlineLevel="0" max="8" min="8" style="0" width="62"/>
  </cols>
  <sheetData>
    <row r="2" customFormat="false" ht="18.55" hidden="false" customHeight="false" outlineLevel="0" collapsed="false">
      <c r="B2" s="23" t="s">
        <v>267</v>
      </c>
    </row>
    <row r="3" customFormat="false" ht="15" hidden="false" customHeight="false" outlineLevel="0" collapsed="false">
      <c r="B3" s="2" t="s">
        <v>268</v>
      </c>
    </row>
    <row r="5" customFormat="false" ht="15" hidden="false" customHeight="false" outlineLevel="0" collapsed="false">
      <c r="B5" s="4" t="s">
        <v>269</v>
      </c>
      <c r="C5" s="5"/>
      <c r="D5" s="5"/>
      <c r="E5" s="5"/>
      <c r="F5" s="5"/>
      <c r="G5" s="5"/>
      <c r="H5" s="5"/>
    </row>
    <row r="6" customFormat="false" ht="15" hidden="false" customHeight="false" outlineLevel="0" collapsed="false">
      <c r="B6" s="16" t="s">
        <v>270</v>
      </c>
      <c r="C6" s="16" t="s">
        <v>271</v>
      </c>
      <c r="D6" s="16" t="s">
        <v>70</v>
      </c>
      <c r="E6" s="16" t="s">
        <v>71</v>
      </c>
      <c r="F6" s="16"/>
      <c r="G6" s="16"/>
      <c r="H6" s="16" t="s">
        <v>272</v>
      </c>
    </row>
    <row r="7" customFormat="false" ht="28.5" hidden="false" customHeight="true" outlineLevel="0" collapsed="false">
      <c r="B7" s="32" t="s">
        <v>273</v>
      </c>
      <c r="C7" s="18" t="s">
        <v>274</v>
      </c>
      <c r="D7" s="33" t="n">
        <f aca="false">Barra_px</f>
        <v>80</v>
      </c>
      <c r="E7" s="25" t="s">
        <v>200</v>
      </c>
      <c r="H7" s="19" t="s">
        <v>275</v>
      </c>
    </row>
    <row r="8" customFormat="false" ht="15" hidden="false" customHeight="false" outlineLevel="0" collapsed="false">
      <c r="B8" s="32" t="s">
        <v>276</v>
      </c>
      <c r="C8" s="18" t="s">
        <v>277</v>
      </c>
      <c r="D8" s="34" t="n">
        <f aca="false">Barra_m</f>
        <v>100</v>
      </c>
      <c r="E8" s="25" t="s">
        <v>82</v>
      </c>
    </row>
    <row r="9" customFormat="false" ht="28.5" hidden="false" customHeight="true" outlineLevel="0" collapsed="false">
      <c r="B9" s="32" t="s">
        <v>278</v>
      </c>
      <c r="C9" s="19" t="s">
        <v>279</v>
      </c>
      <c r="D9" s="35" t="n">
        <f aca="false">D8/D7</f>
        <v>1.25</v>
      </c>
      <c r="E9" s="25" t="s">
        <v>280</v>
      </c>
      <c r="H9" s="19" t="s">
        <v>281</v>
      </c>
    </row>
    <row r="11" customFormat="false" ht="15" hidden="false" customHeight="false" outlineLevel="0" collapsed="false">
      <c r="B11" s="4" t="s">
        <v>282</v>
      </c>
      <c r="C11" s="5"/>
      <c r="D11" s="5"/>
      <c r="E11" s="5"/>
      <c r="F11" s="5"/>
      <c r="G11" s="5"/>
      <c r="H11" s="5"/>
    </row>
    <row r="12" customFormat="false" ht="15" hidden="false" customHeight="false" outlineLevel="0" collapsed="false">
      <c r="B12" s="16" t="s">
        <v>270</v>
      </c>
      <c r="C12" s="16" t="s">
        <v>271</v>
      </c>
      <c r="D12" s="16" t="s">
        <v>70</v>
      </c>
      <c r="E12" s="16" t="s">
        <v>71</v>
      </c>
      <c r="F12" s="16"/>
      <c r="G12" s="16"/>
      <c r="H12" s="16" t="s">
        <v>272</v>
      </c>
    </row>
    <row r="13" customFormat="false" ht="28.5" hidden="false" customHeight="true" outlineLevel="0" collapsed="false">
      <c r="B13" s="32" t="s">
        <v>283</v>
      </c>
      <c r="C13" s="19" t="s">
        <v>284</v>
      </c>
      <c r="D13" s="36" t="n">
        <v>553</v>
      </c>
      <c r="E13" s="25" t="s">
        <v>200</v>
      </c>
      <c r="H13" s="19" t="s">
        <v>285</v>
      </c>
    </row>
    <row r="14" customFormat="false" ht="28.5" hidden="false" customHeight="true" outlineLevel="0" collapsed="false">
      <c r="B14" s="32" t="s">
        <v>286</v>
      </c>
      <c r="C14" s="19" t="s">
        <v>287</v>
      </c>
      <c r="D14" s="36" t="n">
        <v>393.5</v>
      </c>
      <c r="E14" s="25" t="s">
        <v>200</v>
      </c>
      <c r="H14" s="19"/>
    </row>
    <row r="15" customFormat="false" ht="15" hidden="false" customHeight="false" outlineLevel="0" collapsed="false">
      <c r="B15" s="32" t="s">
        <v>288</v>
      </c>
      <c r="C15" s="19" t="s">
        <v>289</v>
      </c>
      <c r="D15" s="37" t="n">
        <f aca="false">D13*Escala</f>
        <v>691.25</v>
      </c>
      <c r="E15" s="25" t="s">
        <v>82</v>
      </c>
      <c r="H15" s="19"/>
    </row>
    <row r="16" customFormat="false" ht="15" hidden="false" customHeight="false" outlineLevel="0" collapsed="false">
      <c r="B16" s="32" t="s">
        <v>290</v>
      </c>
      <c r="C16" s="19" t="s">
        <v>291</v>
      </c>
      <c r="D16" s="37" t="n">
        <f aca="false">D14*Escala</f>
        <v>491.875</v>
      </c>
      <c r="E16" s="25" t="s">
        <v>82</v>
      </c>
      <c r="H16" s="19"/>
    </row>
    <row r="17" customFormat="false" ht="28.5" hidden="false" customHeight="true" outlineLevel="0" collapsed="false">
      <c r="B17" s="32" t="s">
        <v>292</v>
      </c>
      <c r="C17" s="19" t="s">
        <v>293</v>
      </c>
      <c r="D17" s="38" t="n">
        <f aca="false">D15*D16/10000</f>
        <v>34.000859375</v>
      </c>
      <c r="E17" s="25" t="s">
        <v>77</v>
      </c>
      <c r="H17" s="19" t="s">
        <v>294</v>
      </c>
    </row>
    <row r="18" customFormat="false" ht="28.5" hidden="false" customHeight="true" outlineLevel="0" collapsed="false">
      <c r="B18" s="32" t="s">
        <v>295</v>
      </c>
      <c r="C18" s="19" t="s">
        <v>296</v>
      </c>
      <c r="D18" s="39" t="n">
        <f aca="false">(D17-Area_predio)/Area_predio</f>
        <v>-0.0285468750000001</v>
      </c>
      <c r="E18" s="25" t="s">
        <v>254</v>
      </c>
      <c r="H18" s="19" t="s">
        <v>297</v>
      </c>
    </row>
    <row r="20" customFormat="false" ht="15" hidden="false" customHeight="false" outlineLevel="0" collapsed="false">
      <c r="B20" s="4" t="s">
        <v>298</v>
      </c>
      <c r="C20" s="5"/>
      <c r="D20" s="5"/>
      <c r="E20" s="5"/>
      <c r="F20" s="5"/>
      <c r="G20" s="5"/>
      <c r="H20" s="5"/>
    </row>
    <row r="21" customFormat="false" ht="15" hidden="false" customHeight="false" outlineLevel="0" collapsed="false">
      <c r="B21" s="16" t="s">
        <v>299</v>
      </c>
      <c r="C21" s="16" t="s">
        <v>300</v>
      </c>
      <c r="D21" s="16" t="s">
        <v>301</v>
      </c>
      <c r="E21" s="16" t="s">
        <v>302</v>
      </c>
      <c r="F21" s="16" t="s">
        <v>303</v>
      </c>
      <c r="G21" s="16" t="s">
        <v>304</v>
      </c>
      <c r="H21" s="16" t="s">
        <v>305</v>
      </c>
    </row>
    <row r="22" customFormat="false" ht="15" hidden="false" customHeight="false" outlineLevel="0" collapsed="false">
      <c r="B22" s="25" t="s">
        <v>306</v>
      </c>
      <c r="C22" s="19" t="s">
        <v>307</v>
      </c>
      <c r="D22" s="40" t="n">
        <v>301</v>
      </c>
      <c r="E22" s="40" t="n">
        <v>393</v>
      </c>
    </row>
    <row r="23" customFormat="false" ht="28.5" hidden="false" customHeight="true" outlineLevel="0" collapsed="false">
      <c r="B23" s="25" t="s">
        <v>308</v>
      </c>
      <c r="C23" s="19"/>
      <c r="D23" s="40" t="n">
        <v>330</v>
      </c>
      <c r="E23" s="40" t="n">
        <v>384</v>
      </c>
      <c r="F23" s="41" t="n">
        <f aca="false">SQRT((D23-D22)^2+(E23-E22)^2)</f>
        <v>30.364452901378</v>
      </c>
      <c r="G23" s="41" t="n">
        <f aca="false">F23*Escala</f>
        <v>37.9555661267224</v>
      </c>
      <c r="H23" s="19" t="s">
        <v>309</v>
      </c>
    </row>
    <row r="24" customFormat="false" ht="15" hidden="false" customHeight="false" outlineLevel="0" collapsed="false">
      <c r="B24" s="25" t="s">
        <v>310</v>
      </c>
      <c r="C24" s="19"/>
      <c r="D24" s="40" t="n">
        <v>360</v>
      </c>
      <c r="E24" s="40" t="n">
        <v>372</v>
      </c>
      <c r="F24" s="41" t="n">
        <f aca="false">SQRT((D24-D23)^2+(E24-E23)^2)</f>
        <v>32.310988842807</v>
      </c>
      <c r="G24" s="41" t="n">
        <f aca="false">F24*Escala</f>
        <v>40.3887360535088</v>
      </c>
    </row>
    <row r="25" customFormat="false" ht="15" hidden="false" customHeight="false" outlineLevel="0" collapsed="false">
      <c r="B25" s="25" t="s">
        <v>311</v>
      </c>
      <c r="C25" s="19"/>
      <c r="D25" s="40" t="n">
        <v>385</v>
      </c>
      <c r="E25" s="40" t="n">
        <v>361</v>
      </c>
      <c r="F25" s="41" t="n">
        <f aca="false">SQRT((D25-D24)^2+(E25-E24)^2)</f>
        <v>27.3130005674953</v>
      </c>
      <c r="G25" s="41" t="n">
        <f aca="false">F25*Escala</f>
        <v>34.1412507093692</v>
      </c>
    </row>
    <row r="26" customFormat="false" ht="15" hidden="false" customHeight="false" outlineLevel="0" collapsed="false">
      <c r="B26" s="25" t="s">
        <v>312</v>
      </c>
      <c r="C26" s="19"/>
      <c r="D26" s="40" t="n">
        <v>405</v>
      </c>
      <c r="E26" s="40" t="n">
        <v>348</v>
      </c>
      <c r="F26" s="41" t="n">
        <f aca="false">SQRT((D26-D25)^2+(E26-E25)^2)</f>
        <v>23.8537208837531</v>
      </c>
      <c r="G26" s="41" t="n">
        <f aca="false">F26*Escala</f>
        <v>29.8171511046914</v>
      </c>
    </row>
    <row r="27" customFormat="false" ht="15" hidden="false" customHeight="false" outlineLevel="0" collapsed="false">
      <c r="B27" s="25" t="s">
        <v>313</v>
      </c>
      <c r="C27" s="19"/>
      <c r="D27" s="40" t="n">
        <v>420</v>
      </c>
      <c r="E27" s="40" t="n">
        <v>332</v>
      </c>
      <c r="F27" s="41" t="n">
        <f aca="false">SQRT((D27-D26)^2+(E27-E26)^2)</f>
        <v>21.9317121994613</v>
      </c>
      <c r="G27" s="41" t="n">
        <f aca="false">F27*Escala</f>
        <v>27.4146402493266</v>
      </c>
    </row>
    <row r="28" customFormat="false" ht="15" hidden="false" customHeight="false" outlineLevel="0" collapsed="false">
      <c r="B28" s="25" t="s">
        <v>314</v>
      </c>
      <c r="C28" s="19"/>
      <c r="D28" s="40" t="n">
        <v>430</v>
      </c>
      <c r="E28" s="40" t="n">
        <v>315</v>
      </c>
      <c r="F28" s="41" t="n">
        <f aca="false">SQRT((D28-D27)^2+(E28-E27)^2)</f>
        <v>19.723082923316</v>
      </c>
      <c r="G28" s="41" t="n">
        <f aca="false">F28*Escala</f>
        <v>24.653853654145</v>
      </c>
    </row>
    <row r="29" customFormat="false" ht="28.5" hidden="false" customHeight="true" outlineLevel="0" collapsed="false">
      <c r="B29" s="25" t="s">
        <v>315</v>
      </c>
      <c r="C29" s="19" t="s">
        <v>316</v>
      </c>
      <c r="D29" s="40" t="n">
        <v>437</v>
      </c>
      <c r="E29" s="40" t="n">
        <v>300</v>
      </c>
      <c r="F29" s="41" t="n">
        <f aca="false">SQRT((D29-D28)^2+(E29-E28)^2)</f>
        <v>16.5529453572469</v>
      </c>
      <c r="G29" s="41" t="n">
        <f aca="false">F29*Escala</f>
        <v>20.6911816965586</v>
      </c>
    </row>
    <row r="30" customFormat="false" ht="28.5" hidden="false" customHeight="true" outlineLevel="0" collapsed="false">
      <c r="B30" s="32" t="s">
        <v>317</v>
      </c>
      <c r="C30" s="42" t="s">
        <v>318</v>
      </c>
      <c r="F30" s="41" t="n">
        <f aca="false">SUM(F23:F29)</f>
        <v>172.049903675458</v>
      </c>
      <c r="G30" s="43" t="n">
        <f aca="false">SUM(G23:G29)</f>
        <v>215.062379594322</v>
      </c>
      <c r="H30" s="19" t="s">
        <v>319</v>
      </c>
    </row>
    <row r="31" customFormat="false" ht="15" hidden="false" customHeight="false" outlineLevel="0" collapsed="false">
      <c r="C31" s="18" t="s">
        <v>320</v>
      </c>
      <c r="G31" s="39" t="n">
        <f aca="false">(G30-Lcan_occ)/Lcan_occ</f>
        <v>-0.0224437291167181</v>
      </c>
    </row>
    <row r="33" customFormat="false" ht="15" hidden="false" customHeight="false" outlineLevel="0" collapsed="false">
      <c r="B33" s="4" t="s">
        <v>321</v>
      </c>
      <c r="C33" s="5"/>
      <c r="D33" s="5"/>
      <c r="E33" s="5"/>
      <c r="F33" s="5"/>
      <c r="G33" s="5"/>
      <c r="H33" s="5"/>
    </row>
    <row r="34" customFormat="false" ht="15" hidden="false" customHeight="false" outlineLevel="0" collapsed="false">
      <c r="B34" s="16" t="s">
        <v>299</v>
      </c>
      <c r="C34" s="16" t="s">
        <v>300</v>
      </c>
      <c r="D34" s="16" t="s">
        <v>301</v>
      </c>
      <c r="E34" s="16" t="s">
        <v>302</v>
      </c>
      <c r="F34" s="16" t="s">
        <v>303</v>
      </c>
      <c r="G34" s="16" t="s">
        <v>304</v>
      </c>
      <c r="H34" s="16" t="s">
        <v>305</v>
      </c>
    </row>
    <row r="35" customFormat="false" ht="28.5" hidden="false" customHeight="true" outlineLevel="0" collapsed="false">
      <c r="B35" s="25" t="s">
        <v>306</v>
      </c>
      <c r="C35" s="19" t="s">
        <v>322</v>
      </c>
      <c r="D35" s="40" t="n">
        <v>522</v>
      </c>
      <c r="E35" s="40" t="n">
        <v>306</v>
      </c>
    </row>
    <row r="36" customFormat="false" ht="28.5" hidden="false" customHeight="true" outlineLevel="0" collapsed="false">
      <c r="B36" s="25" t="s">
        <v>308</v>
      </c>
      <c r="C36" s="19"/>
      <c r="D36" s="40" t="n">
        <v>535</v>
      </c>
      <c r="E36" s="40" t="n">
        <v>327</v>
      </c>
      <c r="F36" s="41" t="n">
        <f aca="false">SQRT((D36-D35)^2+(E36-E35)^2)</f>
        <v>24.6981780704569</v>
      </c>
      <c r="G36" s="41" t="n">
        <f aca="false">F36*Escala</f>
        <v>30.8727225880712</v>
      </c>
      <c r="H36" s="19" t="s">
        <v>309</v>
      </c>
    </row>
    <row r="37" customFormat="false" ht="15" hidden="false" customHeight="false" outlineLevel="0" collapsed="false">
      <c r="B37" s="25" t="s">
        <v>310</v>
      </c>
      <c r="C37" s="19"/>
      <c r="D37" s="40" t="n">
        <v>550</v>
      </c>
      <c r="E37" s="40" t="n">
        <v>338</v>
      </c>
      <c r="F37" s="41" t="n">
        <f aca="false">SQRT((D37-D36)^2+(E37-E36)^2)</f>
        <v>18.6010752377383</v>
      </c>
      <c r="G37" s="41" t="n">
        <f aca="false">F37*Escala</f>
        <v>23.2513440471728</v>
      </c>
    </row>
    <row r="38" customFormat="false" ht="15" hidden="false" customHeight="false" outlineLevel="0" collapsed="false">
      <c r="B38" s="25" t="s">
        <v>311</v>
      </c>
      <c r="C38" s="19"/>
      <c r="D38" s="40" t="n">
        <v>565</v>
      </c>
      <c r="E38" s="40" t="n">
        <v>343</v>
      </c>
      <c r="F38" s="41" t="n">
        <f aca="false">SQRT((D38-D37)^2+(E38-E37)^2)</f>
        <v>15.8113883008419</v>
      </c>
      <c r="G38" s="41" t="n">
        <f aca="false">F38*Escala</f>
        <v>19.7642353760524</v>
      </c>
    </row>
    <row r="39" customFormat="false" ht="15" hidden="false" customHeight="false" outlineLevel="0" collapsed="false">
      <c r="B39" s="25" t="s">
        <v>312</v>
      </c>
      <c r="C39" s="19"/>
      <c r="D39" s="40" t="n">
        <v>580</v>
      </c>
      <c r="E39" s="40" t="n">
        <v>344</v>
      </c>
      <c r="F39" s="41" t="n">
        <f aca="false">SQRT((D39-D38)^2+(E39-E38)^2)</f>
        <v>15.0332963783729</v>
      </c>
      <c r="G39" s="41" t="n">
        <f aca="false">F39*Escala</f>
        <v>18.7916204729661</v>
      </c>
    </row>
    <row r="40" customFormat="false" ht="15" hidden="false" customHeight="false" outlineLevel="0" collapsed="false">
      <c r="B40" s="25" t="s">
        <v>313</v>
      </c>
      <c r="C40" s="19"/>
      <c r="D40" s="40" t="n">
        <v>595</v>
      </c>
      <c r="E40" s="40" t="n">
        <v>339</v>
      </c>
      <c r="F40" s="41" t="n">
        <f aca="false">SQRT((D40-D39)^2+(E40-E39)^2)</f>
        <v>15.8113883008419</v>
      </c>
      <c r="G40" s="41" t="n">
        <f aca="false">F40*Escala</f>
        <v>19.7642353760524</v>
      </c>
    </row>
    <row r="41" customFormat="false" ht="15" hidden="false" customHeight="false" outlineLevel="0" collapsed="false">
      <c r="B41" s="25" t="s">
        <v>314</v>
      </c>
      <c r="C41" s="19"/>
      <c r="D41" s="40" t="n">
        <v>610</v>
      </c>
      <c r="E41" s="40" t="n">
        <v>323</v>
      </c>
      <c r="F41" s="41" t="n">
        <f aca="false">SQRT((D41-D40)^2+(E41-E40)^2)</f>
        <v>21.9317121994613</v>
      </c>
      <c r="G41" s="41" t="n">
        <f aca="false">F41*Escala</f>
        <v>27.4146402493266</v>
      </c>
    </row>
    <row r="42" customFormat="false" ht="15" hidden="false" customHeight="false" outlineLevel="0" collapsed="false">
      <c r="B42" s="25" t="s">
        <v>315</v>
      </c>
      <c r="C42" s="19"/>
      <c r="D42" s="40" t="n">
        <v>622</v>
      </c>
      <c r="E42" s="40" t="n">
        <v>307</v>
      </c>
      <c r="F42" s="41" t="n">
        <f aca="false">SQRT((D42-D41)^2+(E42-E41)^2)</f>
        <v>20</v>
      </c>
      <c r="G42" s="41" t="n">
        <f aca="false">F42*Escala</f>
        <v>25</v>
      </c>
    </row>
    <row r="43" customFormat="false" ht="28.5" hidden="false" customHeight="true" outlineLevel="0" collapsed="false">
      <c r="B43" s="25" t="s">
        <v>323</v>
      </c>
      <c r="C43" s="19" t="s">
        <v>324</v>
      </c>
      <c r="D43" s="40" t="n">
        <v>630</v>
      </c>
      <c r="E43" s="40" t="n">
        <v>296</v>
      </c>
      <c r="F43" s="41" t="n">
        <f aca="false">SQRT((D43-D42)^2+(E43-E42)^2)</f>
        <v>13.6014705087354</v>
      </c>
      <c r="G43" s="41" t="n">
        <f aca="false">F43*Escala</f>
        <v>17.0018381359193</v>
      </c>
    </row>
    <row r="44" customFormat="false" ht="28.5" hidden="false" customHeight="true" outlineLevel="0" collapsed="false">
      <c r="B44" s="32" t="s">
        <v>325</v>
      </c>
      <c r="C44" s="42" t="s">
        <v>318</v>
      </c>
      <c r="F44" s="41" t="n">
        <f aca="false">SUM(F36:F43)</f>
        <v>145.488508996449</v>
      </c>
      <c r="G44" s="43" t="n">
        <f aca="false">SUM(G36:G43)</f>
        <v>181.860636245561</v>
      </c>
      <c r="H44" s="19" t="s">
        <v>319</v>
      </c>
    </row>
    <row r="45" customFormat="false" ht="15" hidden="false" customHeight="false" outlineLevel="0" collapsed="false">
      <c r="C45" s="18" t="s">
        <v>320</v>
      </c>
      <c r="G45" s="39" t="n">
        <f aca="false">(G44-Lcan_ori)/Lcan_ori</f>
        <v>0.0103368680308936</v>
      </c>
    </row>
    <row r="47" customFormat="false" ht="15" hidden="false" customHeight="false" outlineLevel="0" collapsed="false">
      <c r="B47" s="4" t="s">
        <v>326</v>
      </c>
      <c r="C47" s="5"/>
      <c r="D47" s="5"/>
      <c r="E47" s="5"/>
      <c r="F47" s="5"/>
      <c r="G47" s="5"/>
      <c r="H47" s="5"/>
    </row>
    <row r="48" customFormat="false" ht="28.5" hidden="false" customHeight="true" outlineLevel="0" collapsed="false">
      <c r="B48" s="16" t="s">
        <v>270</v>
      </c>
      <c r="C48" s="16" t="s">
        <v>327</v>
      </c>
      <c r="D48" s="16" t="s">
        <v>328</v>
      </c>
      <c r="E48" s="16" t="s">
        <v>329</v>
      </c>
      <c r="F48" s="16"/>
      <c r="G48" s="16"/>
      <c r="H48" s="16" t="s">
        <v>330</v>
      </c>
    </row>
    <row r="49" customFormat="false" ht="28.5" hidden="false" customHeight="true" outlineLevel="0" collapsed="false">
      <c r="B49" s="32" t="s">
        <v>331</v>
      </c>
      <c r="C49" s="19" t="s">
        <v>332</v>
      </c>
      <c r="D49" s="36" t="n">
        <v>95</v>
      </c>
      <c r="E49" s="37" t="n">
        <f aca="false">D49*Escala</f>
        <v>118.75</v>
      </c>
      <c r="H49" s="19" t="s">
        <v>333</v>
      </c>
    </row>
    <row r="50" customFormat="false" ht="15" hidden="false" customHeight="false" outlineLevel="0" collapsed="false">
      <c r="B50" s="32" t="s">
        <v>334</v>
      </c>
      <c r="C50" s="19" t="s">
        <v>335</v>
      </c>
      <c r="D50" s="36" t="n">
        <v>110</v>
      </c>
      <c r="E50" s="37" t="n">
        <f aca="false">D50*Escala</f>
        <v>137.5</v>
      </c>
      <c r="H50" s="19" t="s">
        <v>333</v>
      </c>
    </row>
    <row r="51" customFormat="false" ht="15" hidden="false" customHeight="false" outlineLevel="0" collapsed="false">
      <c r="B51" s="32" t="s">
        <v>336</v>
      </c>
      <c r="C51" s="19" t="s">
        <v>337</v>
      </c>
      <c r="D51" s="36" t="n">
        <v>553</v>
      </c>
      <c r="E51" s="37" t="n">
        <f aca="false">D51*Escala</f>
        <v>691.25</v>
      </c>
      <c r="H51" s="19" t="s">
        <v>338</v>
      </c>
    </row>
    <row r="52" customFormat="false" ht="28.5" hidden="false" customHeight="true" outlineLevel="0" collapsed="false">
      <c r="B52" s="32" t="s">
        <v>339</v>
      </c>
      <c r="C52" s="19" t="s">
        <v>340</v>
      </c>
      <c r="D52" s="36" t="n">
        <v>22</v>
      </c>
      <c r="E52" s="37" t="n">
        <f aca="false">D52*Escala</f>
        <v>27.5</v>
      </c>
      <c r="H52" s="19" t="s">
        <v>341</v>
      </c>
    </row>
    <row r="53" customFormat="false" ht="28.5" hidden="false" customHeight="true" outlineLevel="0" collapsed="false">
      <c r="B53" s="32" t="s">
        <v>342</v>
      </c>
      <c r="C53" s="19" t="s">
        <v>343</v>
      </c>
      <c r="D53" s="36" t="n">
        <v>85</v>
      </c>
      <c r="E53" s="37" t="n">
        <f aca="false">D53*Escala</f>
        <v>106.25</v>
      </c>
      <c r="H53" s="19" t="s">
        <v>344</v>
      </c>
    </row>
    <row r="54" customFormat="false" ht="28.5" hidden="false" customHeight="true" outlineLevel="0" collapsed="false">
      <c r="B54" s="32" t="s">
        <v>345</v>
      </c>
      <c r="C54" s="19" t="s">
        <v>346</v>
      </c>
      <c r="D54" s="36" t="n">
        <v>178.3</v>
      </c>
      <c r="E54" s="37" t="n">
        <f aca="false">D54*Escala</f>
        <v>222.875</v>
      </c>
      <c r="H54" s="19" t="s">
        <v>347</v>
      </c>
    </row>
    <row r="55" customFormat="false" ht="28.5" hidden="false" customHeight="true" outlineLevel="0" collapsed="false">
      <c r="B55" s="32" t="s">
        <v>348</v>
      </c>
      <c r="C55" s="19" t="s">
        <v>349</v>
      </c>
      <c r="D55" s="36" t="n">
        <v>101</v>
      </c>
      <c r="E55" s="37" t="n">
        <f aca="false">D55*Escala</f>
        <v>126.25</v>
      </c>
      <c r="H55" s="19" t="s">
        <v>350</v>
      </c>
    </row>
    <row r="56" customFormat="false" ht="15" hidden="false" customHeight="false" outlineLevel="0" collapsed="false">
      <c r="B56" s="32" t="s">
        <v>351</v>
      </c>
      <c r="C56" s="19" t="s">
        <v>352</v>
      </c>
      <c r="D56" s="36" t="n">
        <v>100.6</v>
      </c>
      <c r="E56" s="37" t="n">
        <f aca="false">D56*Escala</f>
        <v>125.75</v>
      </c>
      <c r="H56" s="19" t="s">
        <v>350</v>
      </c>
    </row>
    <row r="57" customFormat="false" ht="28.5" hidden="false" customHeight="true" outlineLevel="0" collapsed="false">
      <c r="B57" s="32" t="s">
        <v>353</v>
      </c>
      <c r="C57" s="19" t="s">
        <v>354</v>
      </c>
      <c r="D57" s="36" t="n">
        <v>185.9</v>
      </c>
      <c r="E57" s="37" t="n">
        <f aca="false">D57*Escala</f>
        <v>232.375</v>
      </c>
      <c r="H57" s="19" t="s">
        <v>355</v>
      </c>
    </row>
    <row r="58" customFormat="false" ht="28.5" hidden="false" customHeight="true" outlineLevel="0" collapsed="false">
      <c r="B58" s="32" t="s">
        <v>356</v>
      </c>
      <c r="C58" s="19" t="s">
        <v>357</v>
      </c>
      <c r="D58" s="36" t="n">
        <v>134.6</v>
      </c>
      <c r="E58" s="37" t="n">
        <f aca="false">D58*Escala</f>
        <v>168.25</v>
      </c>
      <c r="H58" s="19" t="s">
        <v>358</v>
      </c>
    </row>
    <row r="59" customFormat="false" ht="28.5" hidden="false" customHeight="true" outlineLevel="0" collapsed="false">
      <c r="B59" s="32" t="s">
        <v>359</v>
      </c>
      <c r="C59" s="19" t="s">
        <v>360</v>
      </c>
      <c r="D59" s="36" t="n">
        <v>553</v>
      </c>
      <c r="E59" s="37" t="n">
        <f aca="false">D59*Escala</f>
        <v>691.25</v>
      </c>
      <c r="H59" s="19" t="s">
        <v>361</v>
      </c>
    </row>
    <row r="60" customFormat="false" ht="28.5" hidden="false" customHeight="true" outlineLevel="0" collapsed="false">
      <c r="B60" s="32" t="s">
        <v>362</v>
      </c>
      <c r="C60" s="19" t="s">
        <v>363</v>
      </c>
      <c r="D60" s="36" t="n">
        <v>270</v>
      </c>
      <c r="E60" s="37" t="n">
        <f aca="false">D60*Escala</f>
        <v>337.5</v>
      </c>
      <c r="H60" s="19" t="s">
        <v>364</v>
      </c>
    </row>
    <row r="61" customFormat="false" ht="15" hidden="false" customHeight="false" outlineLevel="0" collapsed="false">
      <c r="B61" s="32" t="s">
        <v>365</v>
      </c>
      <c r="C61" s="19" t="s">
        <v>366</v>
      </c>
      <c r="D61" s="36" t="n">
        <v>138</v>
      </c>
      <c r="E61" s="37" t="n">
        <f aca="false">D61*Escala</f>
        <v>172.5</v>
      </c>
      <c r="H61" s="19" t="s">
        <v>367</v>
      </c>
    </row>
    <row r="62" customFormat="false" ht="28.5" hidden="false" customHeight="true" outlineLevel="0" collapsed="false">
      <c r="B62" s="32" t="s">
        <v>368</v>
      </c>
      <c r="C62" s="19" t="s">
        <v>369</v>
      </c>
      <c r="D62" s="36" t="n">
        <v>1430</v>
      </c>
      <c r="E62" s="37" t="n">
        <f aca="false">D62*Escala</f>
        <v>1787.5</v>
      </c>
      <c r="H62" s="19" t="s">
        <v>370</v>
      </c>
    </row>
    <row r="64" customFormat="false" ht="15" hidden="false" customHeight="false" outlineLevel="0" collapsed="false">
      <c r="B64" s="2" t="s">
        <v>371</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372</v>
      </c>
    </row>
    <row r="3" customFormat="false" ht="15" hidden="false" customHeight="false" outlineLevel="0" collapsed="false">
      <c r="B3" s="2" t="s">
        <v>373</v>
      </c>
    </row>
    <row r="5" customFormat="false" ht="15" hidden="false" customHeight="false" outlineLevel="0" collapsed="false">
      <c r="B5" s="4" t="s">
        <v>374</v>
      </c>
      <c r="C5" s="5"/>
      <c r="D5" s="5"/>
      <c r="E5" s="5"/>
      <c r="F5" s="5"/>
      <c r="G5" s="5"/>
      <c r="H5" s="5"/>
    </row>
    <row r="6" customFormat="false" ht="15" hidden="false" customHeight="false" outlineLevel="0" collapsed="false">
      <c r="B6" s="16" t="s">
        <v>270</v>
      </c>
      <c r="C6" s="16" t="s">
        <v>375</v>
      </c>
      <c r="D6" s="16" t="s">
        <v>305</v>
      </c>
      <c r="E6" s="16" t="s">
        <v>376</v>
      </c>
      <c r="F6" s="16" t="s">
        <v>377</v>
      </c>
      <c r="G6" s="16" t="s">
        <v>71</v>
      </c>
      <c r="H6" s="16" t="s">
        <v>378</v>
      </c>
    </row>
    <row r="7" customFormat="false" ht="28.5" hidden="false" customHeight="true" outlineLevel="0" collapsed="false">
      <c r="B7" s="32" t="s">
        <v>379</v>
      </c>
      <c r="C7" s="19" t="s">
        <v>380</v>
      </c>
      <c r="D7" s="44" t="s">
        <v>381</v>
      </c>
      <c r="E7" s="33" t="n">
        <f aca="false">PK_occ</f>
        <v>387.7</v>
      </c>
      <c r="F7" s="33" t="n">
        <f aca="false">PK_ori</f>
        <v>386.7</v>
      </c>
      <c r="G7" s="25" t="s">
        <v>82</v>
      </c>
      <c r="H7" s="19" t="s">
        <v>382</v>
      </c>
    </row>
    <row r="8" customFormat="false" ht="28.5" hidden="false" customHeight="true" outlineLevel="0" collapsed="false">
      <c r="B8" s="32" t="s">
        <v>383</v>
      </c>
      <c r="C8" s="19" t="s">
        <v>384</v>
      </c>
      <c r="D8" s="44" t="s">
        <v>385</v>
      </c>
      <c r="E8" s="45" t="n">
        <f aca="false">Espejo_occ</f>
        <v>5700</v>
      </c>
      <c r="F8" s="45" t="n">
        <f aca="false">Espejo_ori</f>
        <v>5700</v>
      </c>
      <c r="G8" s="25" t="s">
        <v>129</v>
      </c>
      <c r="H8" s="19" t="s">
        <v>386</v>
      </c>
    </row>
    <row r="9" customFormat="false" ht="15" hidden="false" customHeight="false" outlineLevel="0" collapsed="false">
      <c r="B9" s="32" t="s">
        <v>387</v>
      </c>
      <c r="C9" s="19" t="s">
        <v>388</v>
      </c>
      <c r="D9" s="44" t="s">
        <v>385</v>
      </c>
      <c r="E9" s="33" t="n">
        <f aca="false">Hmax_occ</f>
        <v>3.3</v>
      </c>
      <c r="F9" s="33" t="n">
        <f aca="false">Hmax_ori</f>
        <v>3.6</v>
      </c>
      <c r="G9" s="25" t="s">
        <v>82</v>
      </c>
      <c r="H9" s="19" t="s">
        <v>389</v>
      </c>
    </row>
    <row r="10" customFormat="false" ht="28.5" hidden="false" customHeight="true" outlineLevel="0" collapsed="false">
      <c r="B10" s="32" t="s">
        <v>390</v>
      </c>
      <c r="C10" s="19" t="s">
        <v>391</v>
      </c>
      <c r="D10" s="44" t="s">
        <v>392</v>
      </c>
      <c r="E10" s="41" t="n">
        <f aca="false">E7-E9</f>
        <v>384.4</v>
      </c>
      <c r="F10" s="41" t="n">
        <f aca="false">F7-F9</f>
        <v>383.1</v>
      </c>
      <c r="G10" s="25" t="s">
        <v>82</v>
      </c>
      <c r="H10" s="19" t="s">
        <v>393</v>
      </c>
    </row>
    <row r="11" customFormat="false" ht="15" hidden="false" customHeight="false" outlineLevel="0" collapsed="false">
      <c r="B11" s="32" t="s">
        <v>394</v>
      </c>
      <c r="C11" s="19" t="s">
        <v>395</v>
      </c>
      <c r="D11" s="44" t="s">
        <v>396</v>
      </c>
      <c r="E11" s="45" t="n">
        <f aca="false">Vmod_occ</f>
        <v>7600</v>
      </c>
      <c r="F11" s="45" t="n">
        <f aca="false">Vmod_ori</f>
        <v>8000</v>
      </c>
      <c r="G11" s="25" t="s">
        <v>140</v>
      </c>
      <c r="H11" s="19" t="s">
        <v>397</v>
      </c>
    </row>
    <row r="13" customFormat="false" ht="15" hidden="false" customHeight="false" outlineLevel="0" collapsed="false">
      <c r="B13" s="4" t="s">
        <v>398</v>
      </c>
      <c r="C13" s="5"/>
      <c r="D13" s="5"/>
      <c r="E13" s="5"/>
      <c r="F13" s="5"/>
      <c r="G13" s="5"/>
      <c r="H13" s="5"/>
    </row>
    <row r="14" customFormat="false" ht="28.5" hidden="false" customHeight="true" outlineLevel="0" collapsed="false">
      <c r="B14" s="32" t="s">
        <v>399</v>
      </c>
      <c r="C14" s="19" t="s">
        <v>400</v>
      </c>
      <c r="D14" s="44" t="s">
        <v>401</v>
      </c>
      <c r="E14" s="37" t="n">
        <f aca="false">E8*E9</f>
        <v>18810</v>
      </c>
      <c r="F14" s="37" t="n">
        <f aca="false">F8*F9</f>
        <v>20520</v>
      </c>
      <c r="G14" s="25" t="s">
        <v>140</v>
      </c>
      <c r="H14" s="19" t="s">
        <v>402</v>
      </c>
    </row>
    <row r="15" customFormat="false" ht="28.5" hidden="false" customHeight="true" outlineLevel="0" collapsed="false">
      <c r="B15" s="32" t="s">
        <v>403</v>
      </c>
      <c r="C15" s="19" t="s">
        <v>404</v>
      </c>
      <c r="D15" s="44" t="s">
        <v>405</v>
      </c>
      <c r="E15" s="35" t="n">
        <f aca="false">E11/E14</f>
        <v>0.404040404040404</v>
      </c>
      <c r="F15" s="35" t="n">
        <f aca="false">F11/F14</f>
        <v>0.389863547758285</v>
      </c>
      <c r="G15" s="25" t="s">
        <v>114</v>
      </c>
      <c r="H15" s="19" t="s">
        <v>406</v>
      </c>
    </row>
    <row r="16" customFormat="false" ht="28.5" hidden="false" customHeight="true" outlineLevel="0" collapsed="false">
      <c r="B16" s="32" t="s">
        <v>407</v>
      </c>
      <c r="C16" s="19" t="s">
        <v>408</v>
      </c>
      <c r="D16" s="44" t="s">
        <v>409</v>
      </c>
      <c r="E16" s="37" t="n">
        <f aca="false">k_bolsillo*E14</f>
        <v>7524</v>
      </c>
      <c r="F16" s="37" t="n">
        <f aca="false">k_bolsillo*F14</f>
        <v>8208</v>
      </c>
      <c r="G16" s="25" t="s">
        <v>140</v>
      </c>
      <c r="H16" s="19" t="s">
        <v>410</v>
      </c>
    </row>
    <row r="17" customFormat="false" ht="28.5" hidden="false" customHeight="true" outlineLevel="0" collapsed="false">
      <c r="B17" s="32" t="s">
        <v>411</v>
      </c>
      <c r="C17" s="19" t="s">
        <v>412</v>
      </c>
      <c r="D17" s="44" t="s">
        <v>413</v>
      </c>
      <c r="E17" s="39" t="n">
        <f aca="false">(E16-E11)/E11</f>
        <v>-0.01</v>
      </c>
      <c r="F17" s="39" t="n">
        <f aca="false">(F16-F11)/F11</f>
        <v>0.026</v>
      </c>
      <c r="G17" s="25" t="s">
        <v>254</v>
      </c>
      <c r="H17" s="19"/>
    </row>
    <row r="18" customFormat="false" ht="55.5" hidden="false" customHeight="true" outlineLevel="0" collapsed="false">
      <c r="B18" s="32" t="s">
        <v>414</v>
      </c>
      <c r="C18" s="19" t="s">
        <v>415</v>
      </c>
      <c r="D18" s="44" t="s">
        <v>416</v>
      </c>
      <c r="E18" s="46" t="n">
        <f aca="false">1/E15</f>
        <v>2.475</v>
      </c>
      <c r="F18" s="46" t="n">
        <f aca="false">1/F15</f>
        <v>2.565</v>
      </c>
      <c r="G18" s="25" t="s">
        <v>114</v>
      </c>
      <c r="H18" s="19" t="s">
        <v>417</v>
      </c>
    </row>
    <row r="20" customFormat="false" ht="15" hidden="false" customHeight="false" outlineLevel="0" collapsed="false">
      <c r="B20" s="4" t="s">
        <v>418</v>
      </c>
      <c r="C20" s="5"/>
      <c r="D20" s="5"/>
      <c r="E20" s="5"/>
      <c r="F20" s="5"/>
      <c r="G20" s="5"/>
      <c r="H20" s="5"/>
    </row>
    <row r="21" customFormat="false" ht="15" hidden="false" customHeight="false" outlineLevel="0" collapsed="false">
      <c r="B21" s="32" t="s">
        <v>419</v>
      </c>
      <c r="C21" s="19" t="s">
        <v>420</v>
      </c>
      <c r="D21" s="44" t="s">
        <v>421</v>
      </c>
      <c r="E21" s="37" t="n">
        <f aca="false">E8</f>
        <v>5700</v>
      </c>
      <c r="F21" s="37" t="n">
        <f aca="false">F8</f>
        <v>5700</v>
      </c>
      <c r="G21" s="25" t="s">
        <v>129</v>
      </c>
      <c r="H21" s="19"/>
    </row>
    <row r="22" customFormat="false" ht="42" hidden="false" customHeight="true" outlineLevel="0" collapsed="false">
      <c r="B22" s="32" t="s">
        <v>422</v>
      </c>
      <c r="C22" s="19" t="s">
        <v>423</v>
      </c>
      <c r="D22" s="44" t="s">
        <v>424</v>
      </c>
      <c r="E22" s="47" t="n">
        <f aca="false">E8*0.5^(E18-1)</f>
        <v>2050.48035151542</v>
      </c>
      <c r="F22" s="47" t="n">
        <f aca="false">F8*0.5^(F18-1)</f>
        <v>1926.47293706508</v>
      </c>
      <c r="G22" s="25" t="s">
        <v>129</v>
      </c>
      <c r="H22" s="19" t="s">
        <v>425</v>
      </c>
    </row>
    <row r="23" customFormat="false" ht="15" hidden="false" customHeight="false" outlineLevel="0" collapsed="false">
      <c r="B23" s="32" t="s">
        <v>426</v>
      </c>
      <c r="C23" s="19" t="s">
        <v>427</v>
      </c>
      <c r="D23" s="44" t="s">
        <v>428</v>
      </c>
      <c r="E23" s="47" t="n">
        <v>0</v>
      </c>
      <c r="F23" s="47" t="n">
        <v>0</v>
      </c>
      <c r="G23" s="25" t="s">
        <v>129</v>
      </c>
      <c r="H23" s="19" t="s">
        <v>429</v>
      </c>
    </row>
    <row r="24" customFormat="false" ht="28.5" hidden="false" customHeight="true" outlineLevel="0" collapsed="false">
      <c r="B24" s="32" t="s">
        <v>430</v>
      </c>
      <c r="C24" s="19" t="s">
        <v>431</v>
      </c>
      <c r="D24" s="44" t="s">
        <v>432</v>
      </c>
      <c r="E24" s="43" t="n">
        <f aca="false">E9/6*(E21+4*E22+E23)</f>
        <v>7646.05677333392</v>
      </c>
      <c r="F24" s="43" t="n">
        <f aca="false">F9/6*(F21+4*F22+F23)</f>
        <v>8043.53504895619</v>
      </c>
      <c r="G24" s="25" t="s">
        <v>140</v>
      </c>
      <c r="H24" s="19" t="s">
        <v>433</v>
      </c>
    </row>
    <row r="25" customFormat="false" ht="15" hidden="false" customHeight="false" outlineLevel="0" collapsed="false">
      <c r="B25" s="32" t="s">
        <v>434</v>
      </c>
      <c r="C25" s="19" t="s">
        <v>435</v>
      </c>
      <c r="D25" s="44" t="s">
        <v>436</v>
      </c>
      <c r="E25" s="39" t="n">
        <f aca="false">(E24-E11)/E11</f>
        <v>0.00606010175446296</v>
      </c>
      <c r="F25" s="39" t="n">
        <f aca="false">(F24-F11)/F11</f>
        <v>0.00544188111952371</v>
      </c>
      <c r="G25" s="25" t="s">
        <v>254</v>
      </c>
      <c r="H25" s="19"/>
    </row>
    <row r="27" customFormat="false" ht="15" hidden="false" customHeight="false" outlineLevel="0" collapsed="false">
      <c r="B27" s="4" t="s">
        <v>437</v>
      </c>
      <c r="C27" s="5"/>
      <c r="D27" s="5"/>
      <c r="E27" s="5"/>
      <c r="F27" s="5"/>
      <c r="G27" s="5"/>
      <c r="H27" s="5"/>
    </row>
    <row r="28" customFormat="false" ht="15" hidden="false" customHeight="false" outlineLevel="0" collapsed="false">
      <c r="B28" s="2" t="s">
        <v>438</v>
      </c>
    </row>
    <row r="29" customFormat="false" ht="28.5" hidden="false" customHeight="true" outlineLevel="0" collapsed="false">
      <c r="B29" s="16" t="s">
        <v>439</v>
      </c>
      <c r="C29" s="16" t="s">
        <v>440</v>
      </c>
      <c r="D29" s="16" t="s">
        <v>441</v>
      </c>
      <c r="E29" s="16" t="s">
        <v>442</v>
      </c>
      <c r="F29" s="16" t="s">
        <v>443</v>
      </c>
      <c r="G29" s="16" t="s">
        <v>444</v>
      </c>
      <c r="H29" s="16" t="s">
        <v>259</v>
      </c>
    </row>
    <row r="30" customFormat="false" ht="15" hidden="false" customHeight="false" outlineLevel="0" collapsed="false">
      <c r="B30" s="25"/>
      <c r="C30" s="18" t="s">
        <v>445</v>
      </c>
      <c r="D30" s="33" t="n">
        <f aca="false">PK_occ</f>
        <v>387.7</v>
      </c>
      <c r="E30" s="47" t="n">
        <f aca="false">IF(D30&lt;=Fondo_occ,0,Espejo_occ*((D30-Fondo_occ)/Hmax_occ)^(m_occ-1))</f>
        <v>5700.00000000003</v>
      </c>
    </row>
    <row r="31" customFormat="false" ht="28.5" hidden="false" customHeight="true" outlineLevel="0" collapsed="false">
      <c r="B31" s="25" t="n">
        <v>1</v>
      </c>
      <c r="C31" s="18" t="s">
        <v>446</v>
      </c>
      <c r="D31" s="41" t="n">
        <f aca="false">MAX(INT(PK_occ),Fondo_occ)</f>
        <v>387</v>
      </c>
      <c r="E31" s="47" t="n">
        <f aca="false">IF(D31&lt;=Fondo_occ,0,Espejo_occ*((D31-Fondo_occ)/Hmax_occ)^(m_occ-1))</f>
        <v>4010.07488320126</v>
      </c>
      <c r="F31" s="41" t="n">
        <f aca="false">D30-D31</f>
        <v>0.699999999999989</v>
      </c>
      <c r="G31" s="37" t="n">
        <f aca="false">F31*(E30+E31)/2</f>
        <v>3398.5262091204</v>
      </c>
      <c r="H31" s="19" t="s">
        <v>447</v>
      </c>
    </row>
    <row r="32" customFormat="false" ht="15" hidden="false" customHeight="false" outlineLevel="0" collapsed="false">
      <c r="B32" s="25" t="n">
        <v>2</v>
      </c>
      <c r="C32" s="18" t="s">
        <v>448</v>
      </c>
      <c r="D32" s="41" t="n">
        <f aca="false">MAX(D31-Int_curvas,Fondo_occ)</f>
        <v>386</v>
      </c>
      <c r="E32" s="47" t="n">
        <f aca="false">IF(D32&lt;=Fondo_occ,0,Espejo_occ*((D32-Fondo_occ)/Hmax_occ)^(m_occ-1))</f>
        <v>1959.49323645176</v>
      </c>
      <c r="F32" s="41" t="n">
        <f aca="false">D31-D32</f>
        <v>1</v>
      </c>
      <c r="G32" s="37" t="n">
        <f aca="false">F32*(E31+E32)/2</f>
        <v>2984.78405982651</v>
      </c>
    </row>
    <row r="33" customFormat="false" ht="15" hidden="false" customHeight="false" outlineLevel="0" collapsed="false">
      <c r="B33" s="25" t="n">
        <v>3</v>
      </c>
      <c r="C33" s="18" t="s">
        <v>448</v>
      </c>
      <c r="D33" s="41" t="n">
        <f aca="false">MAX(D32-Int_curvas,Fondo_occ)</f>
        <v>385</v>
      </c>
      <c r="E33" s="47" t="n">
        <f aca="false">IF(D33&lt;=Fondo_occ,0,Espejo_occ*((D33-Fondo_occ)/Hmax_occ)^(m_occ-1))</f>
        <v>461.147531972981</v>
      </c>
      <c r="F33" s="41" t="n">
        <f aca="false">D32-D33</f>
        <v>1</v>
      </c>
      <c r="G33" s="37" t="n">
        <f aca="false">F33*(E32+E33)/2</f>
        <v>1210.32038421237</v>
      </c>
    </row>
    <row r="34" customFormat="false" ht="15" hidden="false" customHeight="false" outlineLevel="0" collapsed="false">
      <c r="B34" s="25" t="n">
        <v>4</v>
      </c>
      <c r="C34" s="18" t="s">
        <v>448</v>
      </c>
      <c r="D34" s="41" t="n">
        <f aca="false">MAX(D33-Int_curvas,Fondo_occ)</f>
        <v>384.4</v>
      </c>
      <c r="E34" s="47" t="n">
        <f aca="false">IF(D34&lt;=Fondo_occ,0,Espejo_occ*((D34-Fondo_occ)/Hmax_occ)^(m_occ-1))</f>
        <v>0</v>
      </c>
      <c r="F34" s="41" t="n">
        <f aca="false">D33-D34</f>
        <v>0.600000000000023</v>
      </c>
      <c r="G34" s="37" t="n">
        <f aca="false">F34*(E33+E34)/2</f>
        <v>138.3442595919</v>
      </c>
    </row>
    <row r="35" customFormat="false" ht="15" hidden="false" customHeight="false" outlineLevel="0" collapsed="false">
      <c r="B35" s="25" t="n">
        <v>5</v>
      </c>
      <c r="C35" s="18" t="s">
        <v>448</v>
      </c>
      <c r="D35" s="41" t="n">
        <f aca="false">MAX(D34-Int_curvas,Fondo_occ)</f>
        <v>384.4</v>
      </c>
      <c r="E35" s="47" t="n">
        <f aca="false">IF(D35&lt;=Fondo_occ,0,Espejo_occ*((D35-Fondo_occ)/Hmax_occ)^(m_occ-1))</f>
        <v>0</v>
      </c>
      <c r="F35" s="41" t="n">
        <f aca="false">D34-D35</f>
        <v>0</v>
      </c>
      <c r="G35" s="37" t="n">
        <f aca="false">F35*(E34+E35)/2</f>
        <v>0</v>
      </c>
    </row>
    <row r="36" customFormat="false" ht="28.5" hidden="false" customHeight="true" outlineLevel="0" collapsed="false">
      <c r="B36" s="25" t="n">
        <v>6</v>
      </c>
      <c r="C36" s="18" t="s">
        <v>449</v>
      </c>
      <c r="D36" s="33" t="n">
        <f aca="false">Fondo_occ</f>
        <v>384.4</v>
      </c>
      <c r="E36" s="47" t="n">
        <f aca="false">IF(D36&lt;=Fondo_occ,0,Espejo_occ*((D36-Fondo_occ)/Hmax_occ)^(m_occ-1))</f>
        <v>0</v>
      </c>
      <c r="F36" s="41" t="n">
        <f aca="false">D35-D36</f>
        <v>0</v>
      </c>
      <c r="G36" s="37" t="n">
        <f aca="false">F36*(E35+E36)/2</f>
        <v>0</v>
      </c>
      <c r="H36" s="19" t="s">
        <v>450</v>
      </c>
    </row>
    <row r="37" customFormat="false" ht="23.85" hidden="false" customHeight="false" outlineLevel="0" collapsed="false">
      <c r="B37" s="32" t="s">
        <v>451</v>
      </c>
      <c r="C37" s="42" t="s">
        <v>452</v>
      </c>
      <c r="G37" s="43" t="n">
        <f aca="false">SUM(G31:G36)</f>
        <v>7731.97491275117</v>
      </c>
      <c r="H37" s="19" t="str">
        <f aca="false">FIXED((G37-Vmod_occ)/Vmod_occ*100,1)&amp;" % de diferencia con el modelo. El promedio de áreas sobrestima un poco en el fondo en V."</f>
        <v>1.7 % de diferencia con el modelo. El promedio de áreas sobrestima un poco en el fondo en V.</v>
      </c>
    </row>
    <row r="39" customFormat="false" ht="28.5" hidden="false" customHeight="true" outlineLevel="0" collapsed="false">
      <c r="B39" s="16" t="s">
        <v>439</v>
      </c>
      <c r="C39" s="16" t="s">
        <v>453</v>
      </c>
      <c r="D39" s="16" t="s">
        <v>441</v>
      </c>
      <c r="E39" s="16" t="s">
        <v>442</v>
      </c>
      <c r="F39" s="16" t="s">
        <v>443</v>
      </c>
      <c r="G39" s="16" t="s">
        <v>444</v>
      </c>
      <c r="H39" s="16" t="s">
        <v>259</v>
      </c>
    </row>
    <row r="40" customFormat="false" ht="15" hidden="false" customHeight="false" outlineLevel="0" collapsed="false">
      <c r="B40" s="25"/>
      <c r="C40" s="18" t="s">
        <v>445</v>
      </c>
      <c r="D40" s="33" t="n">
        <f aca="false">PK_ori</f>
        <v>386.7</v>
      </c>
      <c r="E40" s="47" t="n">
        <f aca="false">IF(D40&lt;=Fondo_ori,0,Espejo_ori*((D40-Fondo_ori)/Hmax_ori)^(m_ori-1))</f>
        <v>5700.00000000006</v>
      </c>
    </row>
    <row r="41" customFormat="false" ht="28.5" hidden="false" customHeight="true" outlineLevel="0" collapsed="false">
      <c r="B41" s="25" t="n">
        <v>1</v>
      </c>
      <c r="C41" s="18" t="s">
        <v>446</v>
      </c>
      <c r="D41" s="41" t="n">
        <f aca="false">MAX(INT(PK_ori),Fondo_ori)</f>
        <v>386</v>
      </c>
      <c r="E41" s="47" t="n">
        <f aca="false">IF(D41&lt;=Fondo_ori,0,Espejo_ori*((D41-Fondo_ori)/Hmax_ori)^(m_ori-1))</f>
        <v>4063.63141114104</v>
      </c>
      <c r="F41" s="41" t="n">
        <f aca="false">D40-D41</f>
        <v>0.699999999999989</v>
      </c>
      <c r="G41" s="37" t="n">
        <f aca="false">F41*(E40+E41)/2</f>
        <v>3417.27099389933</v>
      </c>
      <c r="H41" s="19" t="s">
        <v>447</v>
      </c>
    </row>
    <row r="42" customFormat="false" ht="15" hidden="false" customHeight="false" outlineLevel="0" collapsed="false">
      <c r="B42" s="25" t="n">
        <v>2</v>
      </c>
      <c r="C42" s="18" t="s">
        <v>448</v>
      </c>
      <c r="D42" s="41" t="n">
        <f aca="false">MAX(D41-Int_curvas,Fondo_ori)</f>
        <v>385</v>
      </c>
      <c r="E42" s="47" t="n">
        <f aca="false">IF(D42&lt;=Fondo_ori,0,Espejo_ori*((D42-Fondo_ori)/Hmax_ori)^(m_ori-1))</f>
        <v>2096.57704972697</v>
      </c>
      <c r="F42" s="41" t="n">
        <f aca="false">D41-D42</f>
        <v>1</v>
      </c>
      <c r="G42" s="37" t="n">
        <f aca="false">F42*(E41+E42)/2</f>
        <v>3080.10423043401</v>
      </c>
    </row>
    <row r="43" customFormat="false" ht="15" hidden="false" customHeight="false" outlineLevel="0" collapsed="false">
      <c r="B43" s="25" t="n">
        <v>3</v>
      </c>
      <c r="C43" s="18" t="s">
        <v>448</v>
      </c>
      <c r="D43" s="41" t="n">
        <f aca="false">MAX(D42-Int_curvas,Fondo_ori)</f>
        <v>384</v>
      </c>
      <c r="E43" s="47" t="n">
        <f aca="false">IF(D43&lt;=Fondo_ori,0,Espejo_ori*((D43-Fondo_ori)/Hmax_ori)^(m_ori-1))</f>
        <v>651.104908288487</v>
      </c>
      <c r="F43" s="41" t="n">
        <f aca="false">D42-D43</f>
        <v>1</v>
      </c>
      <c r="G43" s="37" t="n">
        <f aca="false">F43*(E42+E43)/2</f>
        <v>1373.84097900773</v>
      </c>
    </row>
    <row r="44" customFormat="false" ht="15" hidden="false" customHeight="false" outlineLevel="0" collapsed="false">
      <c r="B44" s="25" t="n">
        <v>4</v>
      </c>
      <c r="C44" s="18" t="s">
        <v>448</v>
      </c>
      <c r="D44" s="41" t="n">
        <f aca="false">MAX(D43-Int_curvas,Fondo_ori)</f>
        <v>383.1</v>
      </c>
      <c r="E44" s="47" t="n">
        <f aca="false">IF(D44&lt;=Fondo_ori,0,Espejo_ori*((D44-Fondo_ori)/Hmax_ori)^(m_ori-1))</f>
        <v>0</v>
      </c>
      <c r="F44" s="41" t="n">
        <f aca="false">D43-D44</f>
        <v>0.900000000000034</v>
      </c>
      <c r="G44" s="37" t="n">
        <f aca="false">F44*(E43+E44)/2</f>
        <v>292.99720872983</v>
      </c>
    </row>
    <row r="45" customFormat="false" ht="15" hidden="false" customHeight="false" outlineLevel="0" collapsed="false">
      <c r="B45" s="25" t="n">
        <v>5</v>
      </c>
      <c r="C45" s="18" t="s">
        <v>448</v>
      </c>
      <c r="D45" s="41" t="n">
        <f aca="false">MAX(D44-Int_curvas,Fondo_ori)</f>
        <v>383.1</v>
      </c>
      <c r="E45" s="47" t="n">
        <f aca="false">IF(D45&lt;=Fondo_ori,0,Espejo_ori*((D45-Fondo_ori)/Hmax_ori)^(m_ori-1))</f>
        <v>0</v>
      </c>
      <c r="F45" s="41" t="n">
        <f aca="false">D44-D45</f>
        <v>0</v>
      </c>
      <c r="G45" s="37" t="n">
        <f aca="false">F45*(E44+E45)/2</f>
        <v>0</v>
      </c>
    </row>
    <row r="46" customFormat="false" ht="28.5" hidden="false" customHeight="true" outlineLevel="0" collapsed="false">
      <c r="B46" s="25" t="n">
        <v>6</v>
      </c>
      <c r="C46" s="18" t="s">
        <v>449</v>
      </c>
      <c r="D46" s="33" t="n">
        <f aca="false">Fondo_ori</f>
        <v>383.1</v>
      </c>
      <c r="E46" s="47" t="n">
        <f aca="false">IF(D46&lt;=Fondo_ori,0,Espejo_ori*((D46-Fondo_ori)/Hmax_ori)^(m_ori-1))</f>
        <v>0</v>
      </c>
      <c r="F46" s="41" t="n">
        <f aca="false">D45-D46</f>
        <v>0</v>
      </c>
      <c r="G46" s="37" t="n">
        <f aca="false">F46*(E45+E46)/2</f>
        <v>0</v>
      </c>
      <c r="H46" s="19" t="s">
        <v>450</v>
      </c>
    </row>
    <row r="47" customFormat="false" ht="23.85" hidden="false" customHeight="false" outlineLevel="0" collapsed="false">
      <c r="B47" s="32" t="s">
        <v>454</v>
      </c>
      <c r="C47" s="42" t="s">
        <v>452</v>
      </c>
      <c r="G47" s="43" t="n">
        <f aca="false">SUM(G41:G46)</f>
        <v>8164.21341207089</v>
      </c>
      <c r="H47" s="19" t="str">
        <f aca="false">FIXED((G47-Vmod_ori)/Vmod_ori*100,1)&amp;" % de diferencia con el modelo. El promedio de áreas sobrestima un poco en el fondo en V."</f>
        <v>2.1 % de diferencia con el modelo. El promedio de áreas sobrestima un poco en el fondo en V.</v>
      </c>
    </row>
    <row r="49" customFormat="false" ht="15" hidden="false" customHeight="false" outlineLevel="0" collapsed="false">
      <c r="B49" s="4" t="s">
        <v>455</v>
      </c>
      <c r="C49" s="5"/>
      <c r="D49" s="5"/>
      <c r="E49" s="5"/>
      <c r="F49" s="5"/>
      <c r="G49" s="5"/>
      <c r="H49" s="5"/>
    </row>
    <row r="50" customFormat="false" ht="15" hidden="false" customHeight="false" outlineLevel="0" collapsed="false">
      <c r="B50" s="16"/>
      <c r="C50" s="16" t="s">
        <v>456</v>
      </c>
      <c r="D50" s="16" t="s">
        <v>457</v>
      </c>
      <c r="E50" s="16" t="s">
        <v>376</v>
      </c>
      <c r="F50" s="16" t="s">
        <v>377</v>
      </c>
      <c r="G50" s="16" t="s">
        <v>71</v>
      </c>
      <c r="H50" s="16" t="s">
        <v>458</v>
      </c>
    </row>
    <row r="51" customFormat="false" ht="15" hidden="false" customHeight="false" outlineLevel="0" collapsed="false">
      <c r="C51" s="42" t="s">
        <v>459</v>
      </c>
      <c r="D51" s="18" t="s">
        <v>460</v>
      </c>
      <c r="E51" s="37" t="n">
        <f aca="false">Vmod_occ</f>
        <v>7600</v>
      </c>
      <c r="F51" s="37" t="n">
        <f aca="false">Vmod_ori</f>
        <v>8000</v>
      </c>
      <c r="G51" s="25" t="s">
        <v>140</v>
      </c>
      <c r="H51" s="19" t="s">
        <v>461</v>
      </c>
    </row>
    <row r="52" customFormat="false" ht="15" hidden="false" customHeight="false" outlineLevel="0" collapsed="false">
      <c r="C52" s="42" t="s">
        <v>462</v>
      </c>
      <c r="D52" s="18" t="s">
        <v>463</v>
      </c>
      <c r="E52" s="37" t="n">
        <f aca="false">E16</f>
        <v>7524</v>
      </c>
      <c r="F52" s="37" t="n">
        <f aca="false">F16</f>
        <v>8208</v>
      </c>
      <c r="G52" s="25" t="s">
        <v>140</v>
      </c>
      <c r="H52" s="19" t="s">
        <v>464</v>
      </c>
    </row>
    <row r="53" customFormat="false" ht="15" hidden="false" customHeight="false" outlineLevel="0" collapsed="false">
      <c r="C53" s="42" t="s">
        <v>465</v>
      </c>
      <c r="D53" s="18" t="s">
        <v>466</v>
      </c>
      <c r="E53" s="37" t="n">
        <f aca="false">Vpri_occ</f>
        <v>7646.05677333392</v>
      </c>
      <c r="F53" s="37" t="n">
        <f aca="false">Vpri_ori</f>
        <v>8043.53504895619</v>
      </c>
      <c r="G53" s="25" t="s">
        <v>140</v>
      </c>
      <c r="H53" s="19" t="s">
        <v>467</v>
      </c>
    </row>
    <row r="54" customFormat="false" ht="15" hidden="false" customHeight="false" outlineLevel="0" collapsed="false">
      <c r="C54" s="42" t="s">
        <v>468</v>
      </c>
      <c r="D54" s="18" t="s">
        <v>469</v>
      </c>
      <c r="E54" s="37" t="n">
        <f aca="false">Vcap_occ</f>
        <v>7731.97491275117</v>
      </c>
      <c r="F54" s="37" t="n">
        <f aca="false">Vcap_ori</f>
        <v>8164.21341207089</v>
      </c>
      <c r="G54" s="25" t="s">
        <v>140</v>
      </c>
      <c r="H54" s="19" t="s">
        <v>470</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471</v>
      </c>
    </row>
    <row r="3" customFormat="false" ht="15" hidden="false" customHeight="false" outlineLevel="0" collapsed="false">
      <c r="B3" s="2" t="s">
        <v>472</v>
      </c>
    </row>
    <row r="5" customFormat="false" ht="15" hidden="false" customHeight="false" outlineLevel="0" collapsed="false">
      <c r="B5" s="4" t="s">
        <v>473</v>
      </c>
      <c r="C5" s="5"/>
      <c r="D5" s="5"/>
      <c r="E5" s="5"/>
      <c r="F5" s="5"/>
      <c r="G5" s="5"/>
      <c r="H5" s="5"/>
    </row>
    <row r="6" customFormat="false" ht="15" hidden="false" customHeight="false" outlineLevel="0" collapsed="false">
      <c r="B6" s="16" t="s">
        <v>270</v>
      </c>
      <c r="C6" s="16" t="s">
        <v>375</v>
      </c>
      <c r="D6" s="16" t="s">
        <v>305</v>
      </c>
      <c r="E6" s="16" t="s">
        <v>376</v>
      </c>
      <c r="F6" s="16" t="s">
        <v>377</v>
      </c>
      <c r="G6" s="16" t="s">
        <v>71</v>
      </c>
      <c r="H6" s="16" t="s">
        <v>378</v>
      </c>
    </row>
    <row r="7" customFormat="false" ht="28.5" hidden="false" customHeight="true" outlineLevel="0" collapsed="false">
      <c r="B7" s="32" t="s">
        <v>474</v>
      </c>
      <c r="C7" s="19" t="s">
        <v>475</v>
      </c>
      <c r="D7" s="44" t="s">
        <v>476</v>
      </c>
      <c r="E7" s="41" t="n">
        <f aca="false">N_reses*Consumo_res/1000</f>
        <v>2</v>
      </c>
      <c r="F7" s="41" t="n">
        <f aca="false">N_reses*Consumo_res/1000</f>
        <v>2</v>
      </c>
      <c r="G7" s="25" t="s">
        <v>477</v>
      </c>
      <c r="H7" s="19" t="s">
        <v>478</v>
      </c>
    </row>
    <row r="8" customFormat="false" ht="15" hidden="false" customHeight="false" outlineLevel="0" collapsed="false">
      <c r="B8" s="32" t="s">
        <v>479</v>
      </c>
      <c r="C8" s="19" t="s">
        <v>480</v>
      </c>
      <c r="D8" s="44" t="s">
        <v>481</v>
      </c>
      <c r="E8" s="43" t="n">
        <f aca="false">E7*Dias_verano</f>
        <v>240</v>
      </c>
      <c r="F8" s="43" t="n">
        <f aca="false">F7*Dias_verano</f>
        <v>240</v>
      </c>
      <c r="G8" s="25" t="s">
        <v>140</v>
      </c>
      <c r="H8" s="19" t="s">
        <v>482</v>
      </c>
    </row>
    <row r="10" customFormat="false" ht="15" hidden="false" customHeight="false" outlineLevel="0" collapsed="false">
      <c r="B10" s="4" t="s">
        <v>483</v>
      </c>
      <c r="C10" s="5"/>
      <c r="D10" s="5"/>
      <c r="E10" s="5"/>
      <c r="F10" s="5"/>
      <c r="G10" s="5"/>
      <c r="H10" s="5"/>
    </row>
    <row r="11" customFormat="false" ht="28.5" hidden="false" customHeight="true" outlineLevel="0" collapsed="false">
      <c r="B11" s="32" t="s">
        <v>484</v>
      </c>
      <c r="C11" s="19" t="s">
        <v>485</v>
      </c>
      <c r="D11" s="44" t="s">
        <v>486</v>
      </c>
      <c r="E11" s="48" t="n">
        <f aca="false">Evap_dia*Dias_verano/1000</f>
        <v>0.6</v>
      </c>
      <c r="F11" s="48" t="n">
        <f aca="false">Evap_dia*Dias_verano/1000</f>
        <v>0.6</v>
      </c>
      <c r="G11" s="25" t="s">
        <v>82</v>
      </c>
      <c r="H11" s="19" t="s">
        <v>487</v>
      </c>
    </row>
    <row r="12" customFormat="false" ht="15" hidden="false" customHeight="false" outlineLevel="0" collapsed="false">
      <c r="B12" s="32" t="s">
        <v>488</v>
      </c>
      <c r="C12" s="19" t="s">
        <v>489</v>
      </c>
      <c r="D12" s="44" t="s">
        <v>490</v>
      </c>
      <c r="E12" s="43" t="n">
        <f aca="false">E11*Espejo_occ</f>
        <v>3420</v>
      </c>
      <c r="F12" s="43" t="n">
        <f aca="false">F11*Espejo_ori</f>
        <v>3420</v>
      </c>
      <c r="G12" s="25" t="s">
        <v>140</v>
      </c>
      <c r="H12" s="19" t="s">
        <v>491</v>
      </c>
    </row>
    <row r="13" customFormat="false" ht="28.5" hidden="false" customHeight="true" outlineLevel="0" collapsed="false">
      <c r="B13" s="32" t="s">
        <v>492</v>
      </c>
      <c r="C13" s="19" t="s">
        <v>493</v>
      </c>
      <c r="D13" s="44" t="s">
        <v>494</v>
      </c>
      <c r="E13" s="39" t="n">
        <f aca="false">E12/Vmod_occ</f>
        <v>0.45</v>
      </c>
      <c r="F13" s="39" t="n">
        <f aca="false">F12/Vmod_ori</f>
        <v>0.4275</v>
      </c>
      <c r="G13" s="25" t="s">
        <v>254</v>
      </c>
      <c r="H13" s="19" t="s">
        <v>495</v>
      </c>
    </row>
    <row r="14" customFormat="false" ht="15" hidden="false" customHeight="false" outlineLevel="0" collapsed="false">
      <c r="B14" s="32" t="s">
        <v>496</v>
      </c>
      <c r="C14" s="19" t="s">
        <v>497</v>
      </c>
      <c r="D14" s="44" t="s">
        <v>486</v>
      </c>
      <c r="E14" s="48" t="n">
        <f aca="false">Infil_dia*Dias_verano/1000</f>
        <v>0.12</v>
      </c>
      <c r="F14" s="48" t="n">
        <f aca="false">Infil_dia*Dias_verano/1000</f>
        <v>0.12</v>
      </c>
      <c r="G14" s="25" t="s">
        <v>82</v>
      </c>
      <c r="H14" s="19"/>
    </row>
    <row r="15" customFormat="false" ht="15" hidden="false" customHeight="false" outlineLevel="0" collapsed="false">
      <c r="B15" s="32" t="s">
        <v>498</v>
      </c>
      <c r="C15" s="19" t="s">
        <v>499</v>
      </c>
      <c r="D15" s="44" t="s">
        <v>490</v>
      </c>
      <c r="E15" s="37" t="n">
        <f aca="false">E14*Espejo_occ</f>
        <v>684</v>
      </c>
      <c r="F15" s="37" t="n">
        <f aca="false">F14*Espejo_ori</f>
        <v>684</v>
      </c>
      <c r="G15" s="25" t="s">
        <v>140</v>
      </c>
      <c r="H15" s="19" t="s">
        <v>500</v>
      </c>
    </row>
    <row r="16" customFormat="false" ht="15" hidden="false" customHeight="false" outlineLevel="0" collapsed="false">
      <c r="B16" s="32" t="s">
        <v>501</v>
      </c>
      <c r="C16" s="19" t="s">
        <v>502</v>
      </c>
      <c r="D16" s="44" t="s">
        <v>503</v>
      </c>
      <c r="E16" s="43" t="n">
        <f aca="false">E12+E15</f>
        <v>4104</v>
      </c>
      <c r="F16" s="43" t="n">
        <f aca="false">F12+F15</f>
        <v>4104</v>
      </c>
      <c r="G16" s="25" t="s">
        <v>140</v>
      </c>
      <c r="H16" s="19" t="s">
        <v>504</v>
      </c>
    </row>
    <row r="18" customFormat="false" ht="15" hidden="false" customHeight="false" outlineLevel="0" collapsed="false">
      <c r="B18" s="4" t="s">
        <v>505</v>
      </c>
      <c r="C18" s="5"/>
      <c r="D18" s="5"/>
      <c r="E18" s="5"/>
      <c r="F18" s="5"/>
      <c r="G18" s="5"/>
      <c r="H18" s="5"/>
    </row>
    <row r="19" customFormat="false" ht="15" hidden="false" customHeight="false" outlineLevel="0" collapsed="false">
      <c r="B19" s="32" t="s">
        <v>506</v>
      </c>
      <c r="C19" s="19" t="s">
        <v>507</v>
      </c>
      <c r="D19" s="44" t="s">
        <v>508</v>
      </c>
      <c r="E19" s="37" t="n">
        <f aca="false">E8+E16</f>
        <v>4344</v>
      </c>
      <c r="F19" s="37" t="n">
        <f aca="false">F8+F16</f>
        <v>4344</v>
      </c>
      <c r="G19" s="25" t="s">
        <v>140</v>
      </c>
      <c r="H19" s="19"/>
    </row>
    <row r="20" customFormat="false" ht="15" hidden="false" customHeight="false" outlineLevel="0" collapsed="false">
      <c r="B20" s="32" t="s">
        <v>509</v>
      </c>
      <c r="C20" s="19" t="s">
        <v>510</v>
      </c>
      <c r="D20" s="44" t="s">
        <v>511</v>
      </c>
      <c r="E20" s="45" t="n">
        <f aca="false">Vmod_occ</f>
        <v>7600</v>
      </c>
      <c r="F20" s="45" t="n">
        <f aca="false">Vmod_ori</f>
        <v>8000</v>
      </c>
      <c r="G20" s="25" t="s">
        <v>140</v>
      </c>
      <c r="H20" s="19"/>
    </row>
    <row r="21" customFormat="false" ht="15" hidden="false" customHeight="false" outlineLevel="0" collapsed="false">
      <c r="B21" s="32" t="s">
        <v>512</v>
      </c>
      <c r="C21" s="19" t="s">
        <v>513</v>
      </c>
      <c r="D21" s="44" t="s">
        <v>514</v>
      </c>
      <c r="E21" s="37" t="n">
        <f aca="false">E20-E19</f>
        <v>3256</v>
      </c>
      <c r="F21" s="37" t="n">
        <f aca="false">F20-F19</f>
        <v>3656</v>
      </c>
      <c r="G21" s="25" t="s">
        <v>140</v>
      </c>
      <c r="H21" s="19"/>
    </row>
    <row r="22" customFormat="false" ht="15" hidden="false" customHeight="false" outlineLevel="0" collapsed="false">
      <c r="B22" s="32" t="s">
        <v>515</v>
      </c>
      <c r="C22" s="19" t="s">
        <v>516</v>
      </c>
      <c r="D22" s="44" t="s">
        <v>517</v>
      </c>
      <c r="E22" s="39" t="n">
        <f aca="false">E21/E20</f>
        <v>0.428421052631579</v>
      </c>
      <c r="F22" s="39" t="n">
        <f aca="false">F21/F20</f>
        <v>0.457</v>
      </c>
      <c r="G22" s="25" t="s">
        <v>254</v>
      </c>
      <c r="H22" s="19" t="s">
        <v>518</v>
      </c>
    </row>
    <row r="23" customFormat="false" ht="15" hidden="false" customHeight="false" outlineLevel="0" collapsed="false">
      <c r="B23" s="32" t="s">
        <v>519</v>
      </c>
      <c r="C23" s="19" t="s">
        <v>520</v>
      </c>
      <c r="D23" s="44" t="s">
        <v>521</v>
      </c>
      <c r="E23" s="49" t="str">
        <f aca="false">IF(E21&gt;=0,"Sí alcanza","No alcanza")</f>
        <v>Sí alcanza</v>
      </c>
      <c r="F23" s="49" t="str">
        <f aca="false">IF(F21&gt;=0,"Sí alcanza","No alcanza")</f>
        <v>Sí alcanza</v>
      </c>
      <c r="G23" s="25"/>
      <c r="H23" s="19"/>
    </row>
    <row r="24" customFormat="false" ht="28.5" hidden="false" customHeight="true" outlineLevel="0" collapsed="false">
      <c r="B24" s="32" t="s">
        <v>522</v>
      </c>
      <c r="C24" s="19" t="s">
        <v>523</v>
      </c>
      <c r="D24" s="44" t="s">
        <v>524</v>
      </c>
      <c r="E24" s="41" t="n">
        <f aca="false">E16/E8</f>
        <v>17.1</v>
      </c>
      <c r="F24" s="41" t="n">
        <f aca="false">F16/F8</f>
        <v>17.1</v>
      </c>
      <c r="G24" s="25" t="s">
        <v>525</v>
      </c>
      <c r="H24" s="19" t="s">
        <v>526</v>
      </c>
    </row>
    <row r="26" customFormat="false" ht="15" hidden="false" customHeight="false" outlineLevel="0" collapsed="false">
      <c r="B26" s="4" t="s">
        <v>527</v>
      </c>
      <c r="C26" s="5"/>
      <c r="D26" s="5"/>
      <c r="E26" s="5"/>
      <c r="F26" s="5"/>
      <c r="G26" s="5"/>
      <c r="H26" s="5"/>
    </row>
    <row r="27" customFormat="false" ht="28.5" hidden="false" customHeight="true" outlineLevel="0" collapsed="false">
      <c r="B27" s="16"/>
      <c r="C27" s="16" t="s">
        <v>528</v>
      </c>
      <c r="D27" s="16" t="s">
        <v>529</v>
      </c>
      <c r="E27" s="16" t="s">
        <v>530</v>
      </c>
      <c r="F27" s="16" t="s">
        <v>531</v>
      </c>
      <c r="G27" s="16" t="s">
        <v>532</v>
      </c>
      <c r="H27" s="16" t="s">
        <v>533</v>
      </c>
    </row>
    <row r="28" customFormat="false" ht="42" hidden="false" customHeight="true" outlineLevel="0" collapsed="false">
      <c r="C28" s="50" t="n">
        <v>2</v>
      </c>
      <c r="D28" s="51" t="s">
        <v>534</v>
      </c>
      <c r="E28" s="37" t="n">
        <f aca="false">Vmod_occ/(k_occ*C28)</f>
        <v>9405</v>
      </c>
      <c r="F28" s="37" t="n">
        <f aca="false">E28*Evap_dia*Dias_verano/1000</f>
        <v>5643</v>
      </c>
      <c r="G28" s="52" t="n">
        <f aca="false">F28/Vmod_occ</f>
        <v>0.7425</v>
      </c>
      <c r="H28" s="19" t="s">
        <v>535</v>
      </c>
    </row>
    <row r="29" customFormat="false" ht="15" hidden="false" customHeight="false" outlineLevel="0" collapsed="false">
      <c r="C29" s="50" t="n">
        <v>3</v>
      </c>
      <c r="D29" s="51" t="s">
        <v>534</v>
      </c>
      <c r="E29" s="37" t="n">
        <f aca="false">Vmod_occ/(k_occ*C29)</f>
        <v>6270</v>
      </c>
      <c r="F29" s="37" t="n">
        <f aca="false">E29*Evap_dia*Dias_verano/1000</f>
        <v>3762</v>
      </c>
      <c r="G29" s="52" t="n">
        <f aca="false">F29/Vmod_occ</f>
        <v>0.495</v>
      </c>
    </row>
    <row r="30" customFormat="false" ht="15" hidden="false" customHeight="false" outlineLevel="0" collapsed="false">
      <c r="C30" s="33" t="n">
        <f aca="false">Hmax_occ</f>
        <v>3.3</v>
      </c>
      <c r="D30" s="51" t="s">
        <v>534</v>
      </c>
      <c r="E30" s="37" t="n">
        <f aca="false">Vmod_occ/(k_occ*C30)</f>
        <v>5700</v>
      </c>
      <c r="F30" s="37" t="n">
        <f aca="false">E30*Evap_dia*Dias_verano/1000</f>
        <v>3420</v>
      </c>
      <c r="G30" s="52" t="n">
        <f aca="false">F30/Vmod_occ</f>
        <v>0.45</v>
      </c>
      <c r="H30" s="53" t="s">
        <v>536</v>
      </c>
    </row>
    <row r="31" customFormat="false" ht="15" hidden="false" customHeight="false" outlineLevel="0" collapsed="false">
      <c r="C31" s="50" t="n">
        <v>4</v>
      </c>
      <c r="D31" s="51" t="s">
        <v>534</v>
      </c>
      <c r="E31" s="37" t="n">
        <f aca="false">Vmod_occ/(k_occ*C31)</f>
        <v>4702.5</v>
      </c>
      <c r="F31" s="37" t="n">
        <f aca="false">E31*Evap_dia*Dias_verano/1000</f>
        <v>2821.5</v>
      </c>
      <c r="G31" s="52" t="n">
        <f aca="false">F31/Vmod_occ</f>
        <v>0.37125</v>
      </c>
    </row>
    <row r="32" customFormat="false" ht="15" hidden="false" customHeight="false" outlineLevel="0" collapsed="false">
      <c r="C32" s="50" t="n">
        <v>5</v>
      </c>
      <c r="D32" s="51" t="s">
        <v>534</v>
      </c>
      <c r="E32" s="37" t="n">
        <f aca="false">Vmod_occ/(k_occ*C32)</f>
        <v>3762</v>
      </c>
      <c r="F32" s="37" t="n">
        <f aca="false">E32*Evap_dia*Dias_verano/1000</f>
        <v>2257.2</v>
      </c>
      <c r="G32" s="52" t="n">
        <f aca="false">F32/Vmod_occ</f>
        <v>0.297</v>
      </c>
    </row>
    <row r="33" customFormat="false" ht="15" hidden="false" customHeight="false" outlineLevel="0" collapsed="false">
      <c r="C33" s="50" t="n">
        <v>6</v>
      </c>
      <c r="D33" s="51" t="s">
        <v>534</v>
      </c>
      <c r="E33" s="37" t="n">
        <f aca="false">Vmod_occ/(k_occ*C33)</f>
        <v>3135</v>
      </c>
      <c r="F33" s="37" t="n">
        <f aca="false">E33*Evap_dia*Dias_verano/1000</f>
        <v>1881</v>
      </c>
      <c r="G33" s="52" t="n">
        <f aca="false">F33/Vmod_occ</f>
        <v>0.2475</v>
      </c>
    </row>
    <row r="35" customFormat="false" ht="15" hidden="false" customHeight="false" outlineLevel="0" collapsed="false">
      <c r="B35" s="4" t="s">
        <v>537</v>
      </c>
      <c r="C35" s="5"/>
      <c r="D35" s="5"/>
      <c r="E35" s="5"/>
      <c r="F35" s="5"/>
      <c r="G35" s="5"/>
      <c r="H35" s="5"/>
    </row>
    <row r="36" customFormat="false" ht="28.5" hidden="false" customHeight="true" outlineLevel="0" collapsed="false">
      <c r="B36" s="32" t="s">
        <v>538</v>
      </c>
      <c r="C36" s="19" t="s">
        <v>539</v>
      </c>
      <c r="D36" s="44" t="s">
        <v>540</v>
      </c>
      <c r="E36" s="37" t="n">
        <f aca="false">Lluvia_anual/1000*C_anual*10000</f>
        <v>7500</v>
      </c>
      <c r="G36" s="25" t="s">
        <v>541</v>
      </c>
      <c r="H36" s="19" t="s">
        <v>542</v>
      </c>
    </row>
    <row r="37" customFormat="false" ht="42" hidden="false" customHeight="true" outlineLevel="0" collapsed="false">
      <c r="B37" s="32" t="s">
        <v>543</v>
      </c>
      <c r="C37" s="19" t="s">
        <v>544</v>
      </c>
      <c r="D37" s="44" t="s">
        <v>545</v>
      </c>
      <c r="E37" s="48" t="n">
        <f aca="false">Vmod_occ/Esc_ha</f>
        <v>1.01333333333333</v>
      </c>
      <c r="F37" s="48" t="n">
        <f aca="false">Vmod_ori/Esc_ha</f>
        <v>1.06666666666667</v>
      </c>
      <c r="G37" s="25" t="s">
        <v>77</v>
      </c>
      <c r="H37" s="19" t="s">
        <v>546</v>
      </c>
    </row>
    <row r="38" customFormat="false" ht="28.5" hidden="false" customHeight="true" outlineLevel="0" collapsed="false">
      <c r="B38" s="32" t="s">
        <v>547</v>
      </c>
      <c r="C38" s="19" t="s">
        <v>548</v>
      </c>
      <c r="D38" s="44" t="s">
        <v>549</v>
      </c>
      <c r="E38" s="48" t="n">
        <f aca="false">(Vmod_occ+Vmod_ori)/Esc_ha</f>
        <v>2.08</v>
      </c>
      <c r="G38" s="25" t="s">
        <v>77</v>
      </c>
      <c r="H38" s="19" t="s">
        <v>550</v>
      </c>
    </row>
  </sheetData>
  <conditionalFormatting sqref="E23:F23">
    <cfRule type="expression" priority="2" aboveAverage="0" equalAverage="0" bottom="0" percent="0" rank="0" text="" dxfId="0">
      <formula>OR(LEFT(E23,2)="Sí",LEFT(E23,8)="Coincide",LEFT(E23,6)="Cumple")</formula>
    </cfRule>
    <cfRule type="expression" priority="3" aboveAverage="0" equalAverage="0" bottom="0" percent="0" rank="0" text="" dxfId="1">
      <formula>OR(LEFT(E23,2)="No",LEFT(E23,7)="Revisar")</formula>
    </cfRule>
    <cfRule type="expression" priority="4" aboveAverage="0" equalAverage="0" bottom="0" percent="0" rank="0" text="" dxfId="2">
      <formula>OR(LEFT(E23,8)="Marginal",LEFT(E23,10)="Carga baja")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O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15" min="3" style="0" width="11.5"/>
    <col collapsed="false" customWidth="true" hidden="false" outlineLevel="0" max="16" min="16" style="0" width="3"/>
  </cols>
  <sheetData>
    <row r="2" customFormat="false" ht="18.55" hidden="false" customHeight="false" outlineLevel="0" collapsed="false">
      <c r="B2" s="23" t="s">
        <v>551</v>
      </c>
    </row>
    <row r="3" customFormat="false" ht="15" hidden="false" customHeight="false" outlineLevel="0" collapsed="false">
      <c r="B3" s="2" t="s">
        <v>552</v>
      </c>
    </row>
    <row r="5" customFormat="false" ht="15" hidden="false" customHeight="false" outlineLevel="0" collapsed="false">
      <c r="B5" s="4" t="s">
        <v>553</v>
      </c>
      <c r="C5" s="5"/>
      <c r="D5" s="5"/>
      <c r="E5" s="5"/>
      <c r="F5" s="5"/>
      <c r="G5" s="5"/>
      <c r="H5" s="5"/>
      <c r="I5" s="5"/>
      <c r="J5" s="5"/>
      <c r="K5" s="5"/>
      <c r="L5" s="5"/>
      <c r="M5" s="5"/>
      <c r="N5" s="5"/>
      <c r="O5" s="5"/>
    </row>
    <row r="6" customFormat="false" ht="15" hidden="false" customHeight="false" outlineLevel="0" collapsed="false">
      <c r="B6" s="54" t="s">
        <v>554</v>
      </c>
    </row>
    <row r="7" customFormat="false" ht="15" hidden="false" customHeight="false" outlineLevel="0" collapsed="false">
      <c r="B7" s="54" t="s">
        <v>555</v>
      </c>
    </row>
    <row r="8" customFormat="false" ht="15" hidden="false" customHeight="false" outlineLevel="0" collapsed="false">
      <c r="B8" s="54" t="s">
        <v>556</v>
      </c>
    </row>
    <row r="10" customFormat="false" ht="15" hidden="false" customHeight="false" outlineLevel="0" collapsed="false">
      <c r="B10" s="4" t="s">
        <v>557</v>
      </c>
      <c r="C10" s="5"/>
      <c r="D10" s="5"/>
      <c r="E10" s="5"/>
      <c r="F10" s="5"/>
      <c r="G10" s="5"/>
      <c r="H10" s="5"/>
      <c r="I10" s="5"/>
      <c r="J10" s="5"/>
      <c r="K10" s="5"/>
      <c r="L10" s="5"/>
      <c r="M10" s="5"/>
      <c r="N10" s="5"/>
      <c r="O10" s="5"/>
    </row>
    <row r="11" customFormat="false" ht="15" hidden="false" customHeight="true" outlineLevel="0" collapsed="false">
      <c r="B11" s="16"/>
      <c r="C11" s="16" t="s">
        <v>558</v>
      </c>
      <c r="D11" s="16"/>
      <c r="E11" s="16"/>
      <c r="F11" s="16"/>
      <c r="G11" s="16" t="s">
        <v>376</v>
      </c>
      <c r="H11" s="16" t="s">
        <v>377</v>
      </c>
      <c r="I11" s="16" t="s">
        <v>71</v>
      </c>
    </row>
    <row r="12" customFormat="false" ht="15" hidden="false" customHeight="false" outlineLevel="0" collapsed="false">
      <c r="C12" s="55" t="s">
        <v>559</v>
      </c>
      <c r="D12" s="55"/>
      <c r="E12" s="55"/>
      <c r="F12" s="55"/>
      <c r="G12" s="43" t="n">
        <f aca="false">C143</f>
        <v>3928.70307226264</v>
      </c>
      <c r="H12" s="43" t="n">
        <f aca="false">I143</f>
        <v>4307.96218720614</v>
      </c>
      <c r="I12" s="25" t="s">
        <v>140</v>
      </c>
      <c r="J12" s="2" t="s">
        <v>560</v>
      </c>
    </row>
    <row r="13" customFormat="false" ht="15" hidden="false" customHeight="false" outlineLevel="0" collapsed="false">
      <c r="C13" s="55" t="s">
        <v>561</v>
      </c>
      <c r="D13" s="55"/>
      <c r="E13" s="55"/>
      <c r="F13" s="55"/>
      <c r="G13" s="56" t="n">
        <f aca="false">H143</f>
        <v>386.927728060795</v>
      </c>
      <c r="H13" s="56" t="n">
        <f aca="false">N143</f>
        <v>385.928134898415</v>
      </c>
      <c r="I13" s="25" t="s">
        <v>82</v>
      </c>
    </row>
    <row r="14" customFormat="false" ht="15" hidden="false" customHeight="false" outlineLevel="0" collapsed="false">
      <c r="C14" s="15" t="s">
        <v>562</v>
      </c>
      <c r="D14" s="15"/>
      <c r="E14" s="15"/>
      <c r="F14" s="15"/>
      <c r="G14" s="48" t="n">
        <f aca="false">H23-H143</f>
        <v>0.772271939204757</v>
      </c>
      <c r="H14" s="48" t="n">
        <f aca="false">N23-N143</f>
        <v>0.771865101585263</v>
      </c>
      <c r="I14" s="25" t="s">
        <v>82</v>
      </c>
    </row>
    <row r="15" customFormat="false" ht="15" hidden="false" customHeight="false" outlineLevel="0" collapsed="false">
      <c r="C15" s="15" t="s">
        <v>563</v>
      </c>
      <c r="D15" s="15"/>
      <c r="E15" s="15"/>
      <c r="F15" s="15"/>
      <c r="G15" s="37" t="n">
        <f aca="false">SUM(F23:F142)</f>
        <v>3431.29692773736</v>
      </c>
      <c r="H15" s="37" t="n">
        <f aca="false">SUM(L23:L142)</f>
        <v>3452.03781279387</v>
      </c>
      <c r="I15" s="25" t="s">
        <v>140</v>
      </c>
    </row>
    <row r="16" customFormat="false" ht="15" hidden="false" customHeight="false" outlineLevel="0" collapsed="false">
      <c r="C16" s="15" t="s">
        <v>564</v>
      </c>
      <c r="D16" s="15"/>
      <c r="E16" s="15"/>
      <c r="F16" s="15"/>
      <c r="G16" s="45" t="n">
        <f aca="false">Perd_occ</f>
        <v>4104</v>
      </c>
      <c r="H16" s="45" t="n">
        <f aca="false">Perd_ori</f>
        <v>4104</v>
      </c>
      <c r="I16" s="25" t="s">
        <v>140</v>
      </c>
    </row>
    <row r="17" customFormat="false" ht="15" hidden="false" customHeight="false" outlineLevel="0" collapsed="false">
      <c r="C17" s="15" t="s">
        <v>565</v>
      </c>
      <c r="D17" s="15"/>
      <c r="E17" s="15"/>
      <c r="F17" s="15"/>
      <c r="G17" s="39" t="n">
        <f aca="false">(G16-G15)/G15</f>
        <v>0.196049215917385</v>
      </c>
      <c r="H17" s="39" t="n">
        <f aca="false">(H16-H15)/H15</f>
        <v>0.188862991242403</v>
      </c>
      <c r="I17" s="25" t="s">
        <v>254</v>
      </c>
    </row>
    <row r="18" customFormat="false" ht="15" hidden="false" customHeight="false" outlineLevel="0" collapsed="false">
      <c r="C18" s="55" t="s">
        <v>566</v>
      </c>
      <c r="D18" s="55"/>
      <c r="E18" s="55"/>
      <c r="F18" s="55"/>
      <c r="G18" s="57" t="s">
        <v>567</v>
      </c>
      <c r="H18" s="56" t="n">
        <f aca="false">H13-Cota_casa</f>
        <v>2.92813489841473</v>
      </c>
      <c r="I18" s="25" t="s">
        <v>82</v>
      </c>
      <c r="J18" s="2" t="s">
        <v>568</v>
      </c>
    </row>
    <row r="20" customFormat="false" ht="15" hidden="false" customHeight="false" outlineLevel="0" collapsed="false">
      <c r="B20" s="4" t="s">
        <v>569</v>
      </c>
      <c r="C20" s="5"/>
      <c r="D20" s="5"/>
      <c r="E20" s="5"/>
      <c r="F20" s="5"/>
      <c r="G20" s="5"/>
      <c r="H20" s="5"/>
      <c r="I20" s="5"/>
      <c r="J20" s="5"/>
      <c r="K20" s="5"/>
      <c r="L20" s="5"/>
      <c r="M20" s="5"/>
      <c r="N20" s="5"/>
      <c r="O20" s="5"/>
    </row>
    <row r="21" customFormat="false" ht="15" hidden="false" customHeight="false" outlineLevel="0" collapsed="false">
      <c r="C21" s="58" t="s">
        <v>570</v>
      </c>
      <c r="I21" s="58" t="s">
        <v>571</v>
      </c>
    </row>
    <row r="22" customFormat="false" ht="28.5" hidden="false" customHeight="true" outlineLevel="0" collapsed="false">
      <c r="B22" s="16" t="s">
        <v>572</v>
      </c>
      <c r="C22" s="16" t="s">
        <v>444</v>
      </c>
      <c r="D22" s="16" t="s">
        <v>573</v>
      </c>
      <c r="E22" s="16" t="s">
        <v>530</v>
      </c>
      <c r="F22" s="16" t="s">
        <v>574</v>
      </c>
      <c r="G22" s="16" t="s">
        <v>575</v>
      </c>
      <c r="H22" s="16" t="s">
        <v>576</v>
      </c>
      <c r="I22" s="16" t="s">
        <v>444</v>
      </c>
      <c r="J22" s="16" t="s">
        <v>573</v>
      </c>
      <c r="K22" s="16" t="s">
        <v>530</v>
      </c>
      <c r="L22" s="16" t="s">
        <v>574</v>
      </c>
      <c r="M22" s="16" t="s">
        <v>575</v>
      </c>
      <c r="N22" s="16" t="s">
        <v>576</v>
      </c>
      <c r="O22" s="16" t="s">
        <v>577</v>
      </c>
    </row>
    <row r="23" customFormat="false" ht="15" hidden="false" customHeight="false" outlineLevel="0" collapsed="false">
      <c r="B23" s="25" t="n">
        <v>0</v>
      </c>
      <c r="C23" s="45" t="n">
        <f aca="false">Vmod_occ</f>
        <v>7600</v>
      </c>
      <c r="D23" s="48" t="n">
        <f aca="false">Hmax_occ*(C23/Vmod_occ)^(1/m_occ)</f>
        <v>3.3</v>
      </c>
      <c r="E23" s="37" t="n">
        <f aca="false">Espejo_occ*(C23/Vmod_occ)^((m_occ-1)/m_occ)</f>
        <v>5700</v>
      </c>
      <c r="F23" s="41" t="n">
        <f aca="false">(Evap_dia+Infil_dia)/1000*E23</f>
        <v>34.2</v>
      </c>
      <c r="G23" s="41" t="n">
        <f aca="false">IF(C23&gt;0,Cons_dia,0)</f>
        <v>2</v>
      </c>
      <c r="H23" s="48" t="n">
        <f aca="false">Fondo_occ+D23</f>
        <v>387.7</v>
      </c>
      <c r="I23" s="45" t="n">
        <f aca="false">Vmod_ori</f>
        <v>8000</v>
      </c>
      <c r="J23" s="48" t="n">
        <f aca="false">Hmax_ori*(I23/Vmod_ori)^(1/m_ori)</f>
        <v>3.6</v>
      </c>
      <c r="K23" s="37" t="n">
        <f aca="false">Espejo_ori*(I23/Vmod_ori)^((m_ori-1)/m_ori)</f>
        <v>5700</v>
      </c>
      <c r="L23" s="41" t="n">
        <f aca="false">(Evap_dia+Infil_dia)/1000*K23</f>
        <v>34.2</v>
      </c>
      <c r="M23" s="41" t="n">
        <f aca="false">IF(I23&gt;0,Cons_dia,0)</f>
        <v>2</v>
      </c>
      <c r="N23" s="48" t="n">
        <f aca="false">Fondo_ori+J23</f>
        <v>386.7</v>
      </c>
      <c r="O23" s="33" t="n">
        <f aca="false">Cota_casa</f>
        <v>383</v>
      </c>
    </row>
    <row r="24" customFormat="false" ht="15" hidden="false" customHeight="false" outlineLevel="0" collapsed="false">
      <c r="B24" s="25" t="n">
        <v>1</v>
      </c>
      <c r="C24" s="37" t="n">
        <f aca="false">MAX(0,C23-F23-G23)</f>
        <v>7563.8</v>
      </c>
      <c r="D24" s="48" t="n">
        <f aca="false">Hmax_occ*(C24/Vmod_occ)^(1/m_occ)</f>
        <v>3.2936400859377</v>
      </c>
      <c r="E24" s="37" t="n">
        <f aca="false">Espejo_occ*(C24/Vmod_occ)^((m_occ-1)/m_occ)</f>
        <v>5683.80409259875</v>
      </c>
      <c r="F24" s="41" t="n">
        <f aca="false">(Evap_dia+Infil_dia)/1000*E24</f>
        <v>34.1028245555925</v>
      </c>
      <c r="G24" s="41" t="n">
        <f aca="false">IF(C24&gt;0,Cons_dia,0)</f>
        <v>2</v>
      </c>
      <c r="H24" s="48" t="n">
        <f aca="false">Fondo_occ+D24</f>
        <v>387.693640085938</v>
      </c>
      <c r="I24" s="37" t="n">
        <f aca="false">MAX(0,I23-L23-M23)</f>
        <v>7963.8</v>
      </c>
      <c r="J24" s="48" t="n">
        <f aca="false">Hmax_ori*(I24/Vmod_ori)^(1/m_ori)</f>
        <v>3.59364033448725</v>
      </c>
      <c r="K24" s="37" t="n">
        <f aca="false">Espejo_ori*(I24/Vmod_ori)^((m_ori-1)/m_ori)</f>
        <v>5684.24914534877</v>
      </c>
      <c r="L24" s="41" t="n">
        <f aca="false">(Evap_dia+Infil_dia)/1000*K24</f>
        <v>34.1054948720926</v>
      </c>
      <c r="M24" s="41" t="n">
        <f aca="false">IF(I24&gt;0,Cons_dia,0)</f>
        <v>2</v>
      </c>
      <c r="N24" s="48" t="n">
        <f aca="false">Fondo_ori+J24</f>
        <v>386.693640334487</v>
      </c>
      <c r="O24" s="33" t="n">
        <f aca="false">Cota_casa</f>
        <v>383</v>
      </c>
    </row>
    <row r="25" customFormat="false" ht="15" hidden="false" customHeight="false" outlineLevel="0" collapsed="false">
      <c r="B25" s="25" t="n">
        <v>2</v>
      </c>
      <c r="C25" s="37" t="n">
        <f aca="false">MAX(0,C24-F24-G24)</f>
        <v>7527.69717544441</v>
      </c>
      <c r="D25" s="48" t="n">
        <f aca="false">Hmax_occ*(C25/Vmod_occ)^(1/m_occ)</f>
        <v>3.28727915170746</v>
      </c>
      <c r="E25" s="37" t="n">
        <f aca="false">Espejo_occ*(C25/Vmod_occ)^((m_occ-1)/m_occ)</f>
        <v>5667.62043909404</v>
      </c>
      <c r="F25" s="41" t="n">
        <f aca="false">(Evap_dia+Infil_dia)/1000*E25</f>
        <v>34.0057226345642</v>
      </c>
      <c r="G25" s="41" t="n">
        <f aca="false">IF(C25&gt;0,Cons_dia,0)</f>
        <v>2</v>
      </c>
      <c r="H25" s="48" t="n">
        <f aca="false">Fondo_occ+D25</f>
        <v>387.687279151707</v>
      </c>
      <c r="I25" s="37" t="n">
        <f aca="false">MAX(0,I24-L24-M24)</f>
        <v>7927.69450512791</v>
      </c>
      <c r="J25" s="48" t="n">
        <f aca="false">Hmax_ori*(I25/Vmod_ori)^(1/m_ori)</f>
        <v>3.58727967841634</v>
      </c>
      <c r="K25" s="37" t="n">
        <f aca="false">Espejo_ori*(I25/Vmod_ori)^((m_ori-1)/m_ori)</f>
        <v>5668.51158218867</v>
      </c>
      <c r="L25" s="41" t="n">
        <f aca="false">(Evap_dia+Infil_dia)/1000*K25</f>
        <v>34.011069493132</v>
      </c>
      <c r="M25" s="41" t="n">
        <f aca="false">IF(I25&gt;0,Cons_dia,0)</f>
        <v>2</v>
      </c>
      <c r="N25" s="48" t="n">
        <f aca="false">Fondo_ori+J25</f>
        <v>386.687279678416</v>
      </c>
      <c r="O25" s="33" t="n">
        <f aca="false">Cota_casa</f>
        <v>383</v>
      </c>
    </row>
    <row r="26" customFormat="false" ht="15" hidden="false" customHeight="false" outlineLevel="0" collapsed="false">
      <c r="B26" s="25" t="n">
        <v>3</v>
      </c>
      <c r="C26" s="37" t="n">
        <f aca="false">MAX(0,C25-F25-G25)</f>
        <v>7491.69145280984</v>
      </c>
      <c r="D26" s="48" t="n">
        <f aca="false">Hmax_occ*(C26/Vmod_occ)^(1/m_occ)</f>
        <v>3.28091719226162</v>
      </c>
      <c r="E26" s="37" t="n">
        <f aca="false">Espejo_occ*(C26/Vmod_occ)^((m_occ-1)/m_occ)</f>
        <v>5651.44904889323</v>
      </c>
      <c r="F26" s="41" t="n">
        <f aca="false">(Evap_dia+Infil_dia)/1000*E26</f>
        <v>33.9086942933594</v>
      </c>
      <c r="G26" s="41" t="n">
        <f aca="false">IF(C26&gt;0,Cons_dia,0)</f>
        <v>2</v>
      </c>
      <c r="H26" s="48" t="n">
        <f aca="false">Fondo_occ+D26</f>
        <v>387.680917192262</v>
      </c>
      <c r="I26" s="37" t="n">
        <f aca="false">MAX(0,I25-L25-M25)</f>
        <v>7891.68343563478</v>
      </c>
      <c r="J26" s="48" t="n">
        <f aca="false">Hmax_ori*(I26/Vmod_ori)^(1/m_ori)</f>
        <v>3.58091802713078</v>
      </c>
      <c r="K26" s="37" t="n">
        <f aca="false">Espejo_ori*(I26/Vmod_ori)^((m_ori-1)/m_ori)</f>
        <v>5652.78731851404</v>
      </c>
      <c r="L26" s="41" t="n">
        <f aca="false">(Evap_dia+Infil_dia)/1000*K26</f>
        <v>33.9167239110843</v>
      </c>
      <c r="M26" s="41" t="n">
        <f aca="false">IF(I26&gt;0,Cons_dia,0)</f>
        <v>2</v>
      </c>
      <c r="N26" s="48" t="n">
        <f aca="false">Fondo_ori+J26</f>
        <v>386.680918027131</v>
      </c>
      <c r="O26" s="33" t="n">
        <f aca="false">Cota_casa</f>
        <v>383</v>
      </c>
    </row>
    <row r="27" customFormat="false" ht="15" hidden="false" customHeight="false" outlineLevel="0" collapsed="false">
      <c r="B27" s="25" t="n">
        <v>4</v>
      </c>
      <c r="C27" s="37" t="n">
        <f aca="false">MAX(0,C26-F26-G26)</f>
        <v>7455.78275851648</v>
      </c>
      <c r="D27" s="48" t="n">
        <f aca="false">Hmax_occ*(C27/Vmod_occ)^(1/m_occ)</f>
        <v>3.27455420251641</v>
      </c>
      <c r="E27" s="37" t="n">
        <f aca="false">Espejo_occ*(C27/Vmod_occ)^((m_occ-1)/m_occ)</f>
        <v>5635.28993141956</v>
      </c>
      <c r="F27" s="41" t="n">
        <f aca="false">(Evap_dia+Infil_dia)/1000*E27</f>
        <v>33.8117395885173</v>
      </c>
      <c r="G27" s="41" t="n">
        <f aca="false">IF(C27&gt;0,Cons_dia,0)</f>
        <v>2</v>
      </c>
      <c r="H27" s="48" t="n">
        <f aca="false">Fondo_occ+D27</f>
        <v>387.674554202516</v>
      </c>
      <c r="I27" s="37" t="n">
        <f aca="false">MAX(0,I26-L26-M26)</f>
        <v>7855.76671172369</v>
      </c>
      <c r="J27" s="48" t="n">
        <f aca="false">Hmax_ori*(I27/Vmod_ori)^(1/m_ori)</f>
        <v>3.57455537594266</v>
      </c>
      <c r="K27" s="37" t="n">
        <f aca="false">Espejo_ori*(I27/Vmod_ori)^((m_ori-1)/m_ori)</f>
        <v>5637.07636233148</v>
      </c>
      <c r="L27" s="41" t="n">
        <f aca="false">(Evap_dia+Infil_dia)/1000*K27</f>
        <v>33.8224581739889</v>
      </c>
      <c r="M27" s="41" t="n">
        <f aca="false">IF(I27&gt;0,Cons_dia,0)</f>
        <v>2</v>
      </c>
      <c r="N27" s="48" t="n">
        <f aca="false">Fondo_ori+J27</f>
        <v>386.674555375943</v>
      </c>
      <c r="O27" s="33" t="n">
        <f aca="false">Cota_casa</f>
        <v>383</v>
      </c>
    </row>
    <row r="28" customFormat="false" ht="15" hidden="false" customHeight="false" outlineLevel="0" collapsed="false">
      <c r="B28" s="25" t="n">
        <v>5</v>
      </c>
      <c r="C28" s="37" t="n">
        <f aca="false">MAX(0,C27-F27-G27)</f>
        <v>7419.97101892797</v>
      </c>
      <c r="D28" s="48" t="n">
        <f aca="false">Hmax_occ*(C28/Vmod_occ)^(1/m_occ)</f>
        <v>3.26819017735161</v>
      </c>
      <c r="E28" s="37" t="n">
        <f aca="false">Espejo_occ*(C28/Vmod_occ)^((m_occ-1)/m_occ)</f>
        <v>5619.14309611212</v>
      </c>
      <c r="F28" s="41" t="n">
        <f aca="false">(Evap_dia+Infil_dia)/1000*E28</f>
        <v>33.7148585766727</v>
      </c>
      <c r="G28" s="41" t="n">
        <f aca="false">IF(C28&gt;0,Cons_dia,0)</f>
        <v>2</v>
      </c>
      <c r="H28" s="48" t="n">
        <f aca="false">Fondo_occ+D28</f>
        <v>387.668190177352</v>
      </c>
      <c r="I28" s="37" t="n">
        <f aca="false">MAX(0,I27-L27-M27)</f>
        <v>7819.9442535497</v>
      </c>
      <c r="J28" s="48" t="n">
        <f aca="false">Hmax_ori*(I28/Vmod_ori)^(1/m_ori)</f>
        <v>3.56819172013244</v>
      </c>
      <c r="K28" s="37" t="n">
        <f aca="false">Espejo_ori*(I28/Vmod_ori)^((m_ori-1)/m_ori)</f>
        <v>5621.37872165975</v>
      </c>
      <c r="L28" s="41" t="n">
        <f aca="false">(Evap_dia+Infil_dia)/1000*K28</f>
        <v>33.7282723299585</v>
      </c>
      <c r="M28" s="41" t="n">
        <f aca="false">IF(I28&gt;0,Cons_dia,0)</f>
        <v>2</v>
      </c>
      <c r="N28" s="48" t="n">
        <f aca="false">Fondo_ori+J28</f>
        <v>386.668191720132</v>
      </c>
      <c r="O28" s="33" t="n">
        <f aca="false">Cota_casa</f>
        <v>383</v>
      </c>
    </row>
    <row r="29" customFormat="false" ht="15" hidden="false" customHeight="false" outlineLevel="0" collapsed="false">
      <c r="B29" s="25" t="n">
        <v>6</v>
      </c>
      <c r="C29" s="37" t="n">
        <f aca="false">MAX(0,C28-F28-G28)</f>
        <v>7384.25616035129</v>
      </c>
      <c r="D29" s="48" t="n">
        <f aca="false">Hmax_occ*(C29/Vmod_occ)^(1/m_occ)</f>
        <v>3.2618251116102</v>
      </c>
      <c r="E29" s="37" t="n">
        <f aca="false">Espejo_occ*(C29/Vmod_occ)^((m_occ-1)/m_occ)</f>
        <v>5603.00855242589</v>
      </c>
      <c r="F29" s="41" t="n">
        <f aca="false">(Evap_dia+Infil_dia)/1000*E29</f>
        <v>33.6180513145553</v>
      </c>
      <c r="G29" s="41" t="n">
        <f aca="false">IF(C29&gt;0,Cons_dia,0)</f>
        <v>2</v>
      </c>
      <c r="H29" s="48" t="n">
        <f aca="false">Fondo_occ+D29</f>
        <v>387.66182511161</v>
      </c>
      <c r="I29" s="37" t="n">
        <f aca="false">MAX(0,I28-L28-M28)</f>
        <v>7784.21598121974</v>
      </c>
      <c r="J29" s="48" t="n">
        <f aca="false">Hmax_ori*(I29/Vmod_ori)^(1/m_ori)</f>
        <v>3.56182705494863</v>
      </c>
      <c r="K29" s="37" t="n">
        <f aca="false">Espejo_ori*(I29/Vmod_ori)^((m_ori-1)/m_ori)</f>
        <v>5605.69440452987</v>
      </c>
      <c r="L29" s="41" t="n">
        <f aca="false">(Evap_dia+Infil_dia)/1000*K29</f>
        <v>33.6341664271792</v>
      </c>
      <c r="M29" s="41" t="n">
        <f aca="false">IF(I29&gt;0,Cons_dia,0)</f>
        <v>2</v>
      </c>
      <c r="N29" s="48" t="n">
        <f aca="false">Fondo_ori+J29</f>
        <v>386.661827054949</v>
      </c>
      <c r="O29" s="33" t="n">
        <f aca="false">Cota_casa</f>
        <v>383</v>
      </c>
    </row>
    <row r="30" customFormat="false" ht="15" hidden="false" customHeight="false" outlineLevel="0" collapsed="false">
      <c r="B30" s="25" t="n">
        <v>7</v>
      </c>
      <c r="C30" s="37" t="n">
        <f aca="false">MAX(0,C29-F29-G29)</f>
        <v>7348.63810903674</v>
      </c>
      <c r="D30" s="48" t="n">
        <f aca="false">Hmax_occ*(C30/Vmod_occ)^(1/m_occ)</f>
        <v>3.255459000098</v>
      </c>
      <c r="E30" s="37" t="n">
        <f aca="false">Espejo_occ*(C30/Vmod_occ)^((m_occ-1)/m_occ)</f>
        <v>5586.8863098317</v>
      </c>
      <c r="F30" s="41" t="n">
        <f aca="false">(Evap_dia+Infil_dia)/1000*E30</f>
        <v>33.5213178589902</v>
      </c>
      <c r="G30" s="41" t="n">
        <f aca="false">IF(C30&gt;0,Cons_dia,0)</f>
        <v>2</v>
      </c>
      <c r="H30" s="48" t="n">
        <f aca="false">Fondo_occ+D30</f>
        <v>387.655459000098</v>
      </c>
      <c r="I30" s="37" t="n">
        <f aca="false">MAX(0,I29-L29-M29)</f>
        <v>7748.58181479257</v>
      </c>
      <c r="J30" s="48" t="n">
        <f aca="false">Hmax_ori*(I30/Vmod_ori)^(1/m_ori)</f>
        <v>3.55546137560755</v>
      </c>
      <c r="K30" s="37" t="n">
        <f aca="false">Espejo_ori*(I30/Vmod_ori)^((m_ori-1)/m_ori)</f>
        <v>5590.02341898504</v>
      </c>
      <c r="L30" s="41" t="n">
        <f aca="false">(Evap_dia+Infil_dia)/1000*K30</f>
        <v>33.5401405139102</v>
      </c>
      <c r="M30" s="41" t="n">
        <f aca="false">IF(I30&gt;0,Cons_dia,0)</f>
        <v>2</v>
      </c>
      <c r="N30" s="48" t="n">
        <f aca="false">Fondo_ori+J30</f>
        <v>386.655461375608</v>
      </c>
      <c r="O30" s="33" t="n">
        <f aca="false">Cota_casa</f>
        <v>383</v>
      </c>
    </row>
    <row r="31" customFormat="false" ht="15" hidden="false" customHeight="false" outlineLevel="0" collapsed="false">
      <c r="B31" s="25" t="n">
        <v>8</v>
      </c>
      <c r="C31" s="37" t="n">
        <f aca="false">MAX(0,C30-F30-G30)</f>
        <v>7313.11679117775</v>
      </c>
      <c r="D31" s="48" t="n">
        <f aca="false">Hmax_occ*(C31/Vmod_occ)^(1/m_occ)</f>
        <v>3.24909183758335</v>
      </c>
      <c r="E31" s="37" t="n">
        <f aca="false">Espejo_occ*(C31/Vmod_occ)^((m_occ-1)/m_occ)</f>
        <v>5570.77637781625</v>
      </c>
      <c r="F31" s="41" t="n">
        <f aca="false">(Evap_dia+Infil_dia)/1000*E31</f>
        <v>33.4246582668975</v>
      </c>
      <c r="G31" s="41" t="n">
        <f aca="false">IF(C31&gt;0,Cons_dia,0)</f>
        <v>2</v>
      </c>
      <c r="H31" s="48" t="n">
        <f aca="false">Fondo_occ+D31</f>
        <v>387.649091837583</v>
      </c>
      <c r="I31" s="37" t="n">
        <f aca="false">MAX(0,I30-L30-M30)</f>
        <v>7713.04167427866</v>
      </c>
      <c r="J31" s="48" t="n">
        <f aca="false">Hmax_ori*(I31/Vmod_ori)^(1/m_ori)</f>
        <v>3.54909467729297</v>
      </c>
      <c r="K31" s="37" t="n">
        <f aca="false">Espejo_ori*(I31/Vmod_ori)^((m_ori-1)/m_ori)</f>
        <v>5574.36577308069</v>
      </c>
      <c r="L31" s="41" t="n">
        <f aca="false">(Evap_dia+Infil_dia)/1000*K31</f>
        <v>33.4461946384841</v>
      </c>
      <c r="M31" s="41" t="n">
        <f aca="false">IF(I31&gt;0,Cons_dia,0)</f>
        <v>2</v>
      </c>
      <c r="N31" s="48" t="n">
        <f aca="false">Fondo_ori+J31</f>
        <v>386.649094677293</v>
      </c>
      <c r="O31" s="33" t="n">
        <f aca="false">Cota_casa</f>
        <v>383</v>
      </c>
    </row>
    <row r="32" customFormat="false" ht="15" hidden="false" customHeight="false" outlineLevel="0" collapsed="false">
      <c r="B32" s="25" t="n">
        <v>9</v>
      </c>
      <c r="C32" s="37" t="n">
        <f aca="false">MAX(0,C31-F31-G31)</f>
        <v>7277.69213291085</v>
      </c>
      <c r="D32" s="48" t="n">
        <f aca="false">Hmax_occ*(C32/Vmod_occ)^(1/m_occ)</f>
        <v>3.24272361879671</v>
      </c>
      <c r="E32" s="37" t="n">
        <f aca="false">Espejo_occ*(C32/Vmod_occ)^((m_occ-1)/m_occ)</f>
        <v>5554.67876588207</v>
      </c>
      <c r="F32" s="41" t="n">
        <f aca="false">(Evap_dia+Infil_dia)/1000*E32</f>
        <v>33.3280725952924</v>
      </c>
      <c r="G32" s="41" t="n">
        <f aca="false">IF(C32&gt;0,Cons_dia,0)</f>
        <v>2</v>
      </c>
      <c r="H32" s="48" t="n">
        <f aca="false">Fondo_occ+D32</f>
        <v>387.642723618797</v>
      </c>
      <c r="I32" s="37" t="n">
        <f aca="false">MAX(0,I31-L31-M31)</f>
        <v>7677.59547964017</v>
      </c>
      <c r="J32" s="48" t="n">
        <f aca="false">Hmax_ori*(I32/Vmod_ori)^(1/m_ori)</f>
        <v>3.54272695515589</v>
      </c>
      <c r="K32" s="37" t="n">
        <f aca="false">Espejo_ori*(I32/Vmod_ori)^((m_ori-1)/m_ori)</f>
        <v>5558.72147488445</v>
      </c>
      <c r="L32" s="41" t="n">
        <f aca="false">(Evap_dia+Infil_dia)/1000*K32</f>
        <v>33.3523288493067</v>
      </c>
      <c r="M32" s="41" t="n">
        <f aca="false">IF(I32&gt;0,Cons_dia,0)</f>
        <v>2</v>
      </c>
      <c r="N32" s="48" t="n">
        <f aca="false">Fondo_ori+J32</f>
        <v>386.642726955156</v>
      </c>
      <c r="O32" s="33" t="n">
        <f aca="false">Cota_casa</f>
        <v>383</v>
      </c>
    </row>
    <row r="33" customFormat="false" ht="15" hidden="false" customHeight="false" outlineLevel="0" collapsed="false">
      <c r="B33" s="25" t="n">
        <v>10</v>
      </c>
      <c r="C33" s="37" t="n">
        <f aca="false">MAX(0,C32-F32-G32)</f>
        <v>7242.36406031556</v>
      </c>
      <c r="D33" s="48" t="n">
        <f aca="false">Hmax_occ*(C33/Vmod_occ)^(1/m_occ)</f>
        <v>3.23635433843033</v>
      </c>
      <c r="E33" s="37" t="n">
        <f aca="false">Espejo_occ*(C33/Vmod_occ)^((m_occ-1)/m_occ)</f>
        <v>5538.59348354753</v>
      </c>
      <c r="F33" s="41" t="n">
        <f aca="false">(Evap_dia+Infil_dia)/1000*E33</f>
        <v>33.2315609012852</v>
      </c>
      <c r="G33" s="41" t="n">
        <f aca="false">IF(C33&gt;0,Cons_dia,0)</f>
        <v>2</v>
      </c>
      <c r="H33" s="48" t="n">
        <f aca="false">Fondo_occ+D33</f>
        <v>387.63635433843</v>
      </c>
      <c r="I33" s="37" t="n">
        <f aca="false">MAX(0,I32-L32-M32)</f>
        <v>7642.24315079086</v>
      </c>
      <c r="J33" s="48" t="n">
        <f aca="false">Hmax_ori*(I33/Vmod_ori)^(1/m_ori)</f>
        <v>3.53635820431423</v>
      </c>
      <c r="K33" s="37" t="n">
        <f aca="false">Espejo_ori*(I33/Vmod_ori)^((m_ori-1)/m_ori)</f>
        <v>5543.09053247615</v>
      </c>
      <c r="L33" s="41" t="n">
        <f aca="false">(Evap_dia+Infil_dia)/1000*K33</f>
        <v>33.2585431948569</v>
      </c>
      <c r="M33" s="41" t="n">
        <f aca="false">IF(I33&gt;0,Cons_dia,0)</f>
        <v>2</v>
      </c>
      <c r="N33" s="48" t="n">
        <f aca="false">Fondo_ori+J33</f>
        <v>386.636358204314</v>
      </c>
      <c r="O33" s="33" t="n">
        <f aca="false">Cota_casa</f>
        <v>383</v>
      </c>
    </row>
    <row r="34" customFormat="false" ht="15" hidden="false" customHeight="false" outlineLevel="0" collapsed="false">
      <c r="B34" s="25" t="n">
        <v>11</v>
      </c>
      <c r="C34" s="37" t="n">
        <f aca="false">MAX(0,C33-F33-G33)</f>
        <v>7207.13249941427</v>
      </c>
      <c r="D34" s="48" t="n">
        <f aca="false">Hmax_occ*(C34/Vmod_occ)^(1/m_occ)</f>
        <v>3.22998399113787</v>
      </c>
      <c r="E34" s="37" t="n">
        <f aca="false">Espejo_occ*(C34/Vmod_occ)^((m_occ-1)/m_occ)</f>
        <v>5522.52054034683</v>
      </c>
      <c r="F34" s="41" t="n">
        <f aca="false">(Evap_dia+Infil_dia)/1000*E34</f>
        <v>33.135123242081</v>
      </c>
      <c r="G34" s="41" t="n">
        <f aca="false">IF(C34&gt;0,Cons_dia,0)</f>
        <v>2</v>
      </c>
      <c r="H34" s="48" t="n">
        <f aca="false">Fondo_occ+D34</f>
        <v>387.629983991138</v>
      </c>
      <c r="I34" s="37" t="n">
        <f aca="false">MAX(0,I33-L33-M33)</f>
        <v>7606.98460759601</v>
      </c>
      <c r="J34" s="48" t="n">
        <f aca="false">Hmax_ori*(I34/Vmod_ori)^(1/m_ori)</f>
        <v>3.5299884198525</v>
      </c>
      <c r="K34" s="37" t="n">
        <f aca="false">Espejo_ori*(I34/Vmod_ori)^((m_ori-1)/m_ori)</f>
        <v>5527.47295394783</v>
      </c>
      <c r="L34" s="41" t="n">
        <f aca="false">(Evap_dia+Infil_dia)/1000*K34</f>
        <v>33.164837723687</v>
      </c>
      <c r="M34" s="41" t="n">
        <f aca="false">IF(I34&gt;0,Cons_dia,0)</f>
        <v>2</v>
      </c>
      <c r="N34" s="48" t="n">
        <f aca="false">Fondo_ori+J34</f>
        <v>386.629988419852</v>
      </c>
      <c r="O34" s="33" t="n">
        <f aca="false">Cota_casa</f>
        <v>383</v>
      </c>
    </row>
    <row r="35" customFormat="false" ht="15" hidden="false" customHeight="false" outlineLevel="0" collapsed="false">
      <c r="B35" s="25" t="n">
        <v>12</v>
      </c>
      <c r="C35" s="37" t="n">
        <f aca="false">MAX(0,C34-F34-G34)</f>
        <v>7171.99737617219</v>
      </c>
      <c r="D35" s="48" t="n">
        <f aca="false">Hmax_occ*(C35/Vmod_occ)^(1/m_occ)</f>
        <v>3.22361257153404</v>
      </c>
      <c r="E35" s="37" t="n">
        <f aca="false">Espejo_occ*(C35/Vmod_occ)^((m_occ-1)/m_occ)</f>
        <v>5506.45994582998</v>
      </c>
      <c r="F35" s="41" t="n">
        <f aca="false">(Evap_dia+Infil_dia)/1000*E35</f>
        <v>33.0387596749799</v>
      </c>
      <c r="G35" s="41" t="n">
        <f aca="false">IF(C35&gt;0,Cons_dia,0)</f>
        <v>2</v>
      </c>
      <c r="H35" s="48" t="n">
        <f aca="false">Fondo_occ+D35</f>
        <v>387.623612571534</v>
      </c>
      <c r="I35" s="37" t="n">
        <f aca="false">MAX(0,I34-L34-M34)</f>
        <v>7571.81976987232</v>
      </c>
      <c r="J35" s="48" t="n">
        <f aca="false">Hmax_ori*(I35/Vmod_ori)^(1/m_ori)</f>
        <v>3.52361759682155</v>
      </c>
      <c r="K35" s="37" t="n">
        <f aca="false">Espejo_ori*(I35/Vmod_ori)^((m_ori-1)/m_ori)</f>
        <v>5511.86874740373</v>
      </c>
      <c r="L35" s="41" t="n">
        <f aca="false">(Evap_dia+Infil_dia)/1000*K35</f>
        <v>33.0712124844224</v>
      </c>
      <c r="M35" s="41" t="n">
        <f aca="false">IF(I35&gt;0,Cons_dia,0)</f>
        <v>2</v>
      </c>
      <c r="N35" s="48" t="n">
        <f aca="false">Fondo_ori+J35</f>
        <v>386.623617596822</v>
      </c>
      <c r="O35" s="33" t="n">
        <f aca="false">Cota_casa</f>
        <v>383</v>
      </c>
    </row>
    <row r="36" customFormat="false" ht="15" hidden="false" customHeight="false" outlineLevel="0" collapsed="false">
      <c r="B36" s="25" t="n">
        <v>13</v>
      </c>
      <c r="C36" s="37" t="n">
        <f aca="false">MAX(0,C35-F35-G35)</f>
        <v>7136.95861649721</v>
      </c>
      <c r="D36" s="48" t="n">
        <f aca="false">Hmax_occ*(C36/Vmod_occ)^(1/m_occ)</f>
        <v>3.21724007419421</v>
      </c>
      <c r="E36" s="37" t="n">
        <f aca="false">Espejo_occ*(C36/Vmod_occ)^((m_occ-1)/m_occ)</f>
        <v>5490.41170956281</v>
      </c>
      <c r="F36" s="41" t="n">
        <f aca="false">(Evap_dia+Infil_dia)/1000*E36</f>
        <v>32.9424702573769</v>
      </c>
      <c r="G36" s="41" t="n">
        <f aca="false">IF(C36&gt;0,Cons_dia,0)</f>
        <v>2</v>
      </c>
      <c r="H36" s="48" t="n">
        <f aca="false">Fondo_occ+D36</f>
        <v>387.617240074194</v>
      </c>
      <c r="I36" s="37" t="n">
        <f aca="false">MAX(0,I35-L35-M35)</f>
        <v>7536.7485573879</v>
      </c>
      <c r="J36" s="48" t="n">
        <f aca="false">Hmax_ori*(I36/Vmod_ori)^(1/m_ori)</f>
        <v>3.5172457302382</v>
      </c>
      <c r="K36" s="37" t="n">
        <f aca="false">Espejo_ori*(I36/Vmod_ori)^((m_ori-1)/m_ori)</f>
        <v>5496.27792096025</v>
      </c>
      <c r="L36" s="41" t="n">
        <f aca="false">(Evap_dia+Infil_dia)/1000*K36</f>
        <v>32.9776675257615</v>
      </c>
      <c r="M36" s="41" t="n">
        <f aca="false">IF(I36&gt;0,Cons_dia,0)</f>
        <v>2</v>
      </c>
      <c r="N36" s="48" t="n">
        <f aca="false">Fondo_ori+J36</f>
        <v>386.617245730238</v>
      </c>
      <c r="O36" s="33" t="n">
        <f aca="false">Cota_casa</f>
        <v>383</v>
      </c>
    </row>
    <row r="37" customFormat="false" ht="15" hidden="false" customHeight="false" outlineLevel="0" collapsed="false">
      <c r="B37" s="25" t="n">
        <v>14</v>
      </c>
      <c r="C37" s="37" t="n">
        <f aca="false">MAX(0,C36-F36-G36)</f>
        <v>7102.01614623984</v>
      </c>
      <c r="D37" s="48" t="n">
        <f aca="false">Hmax_occ*(C37/Vmod_occ)^(1/m_occ)</f>
        <v>3.21086649365405</v>
      </c>
      <c r="E37" s="37" t="n">
        <f aca="false">Espejo_occ*(C37/Vmod_occ)^((m_occ-1)/m_occ)</f>
        <v>5474.37584112691</v>
      </c>
      <c r="F37" s="41" t="n">
        <f aca="false">(Evap_dia+Infil_dia)/1000*E37</f>
        <v>32.8462550467615</v>
      </c>
      <c r="G37" s="41" t="n">
        <f aca="false">IF(C37&gt;0,Cons_dia,0)</f>
        <v>2</v>
      </c>
      <c r="H37" s="48" t="n">
        <f aca="false">Fondo_occ+D37</f>
        <v>387.610866493654</v>
      </c>
      <c r="I37" s="37" t="n">
        <f aca="false">MAX(0,I36-L36-M36)</f>
        <v>7501.77088986214</v>
      </c>
      <c r="J37" s="48" t="n">
        <f aca="false">Hmax_ori*(I37/Vmod_ori)^(1/m_ori)</f>
        <v>3.51087281508503</v>
      </c>
      <c r="K37" s="37" t="n">
        <f aca="false">Espejo_ori*(I37/Vmod_ori)^((m_ori-1)/m_ori)</f>
        <v>5480.70048274602</v>
      </c>
      <c r="L37" s="41" t="n">
        <f aca="false">(Evap_dia+Infil_dia)/1000*K37</f>
        <v>32.8842028964761</v>
      </c>
      <c r="M37" s="41" t="n">
        <f aca="false">IF(I37&gt;0,Cons_dia,0)</f>
        <v>2</v>
      </c>
      <c r="N37" s="48" t="n">
        <f aca="false">Fondo_ori+J37</f>
        <v>386.610872815085</v>
      </c>
      <c r="O37" s="33" t="n">
        <f aca="false">Cota_casa</f>
        <v>383</v>
      </c>
    </row>
    <row r="38" customFormat="false" ht="15" hidden="false" customHeight="false" outlineLevel="0" collapsed="false">
      <c r="B38" s="25" t="n">
        <v>15</v>
      </c>
      <c r="C38" s="37" t="n">
        <f aca="false">MAX(0,C37-F37-G37)</f>
        <v>7067.16989119307</v>
      </c>
      <c r="D38" s="48" t="n">
        <f aca="false">Hmax_occ*(C38/Vmod_occ)^(1/m_occ)</f>
        <v>3.20449182440913</v>
      </c>
      <c r="E38" s="37" t="n">
        <f aca="false">Espejo_occ*(C38/Vmod_occ)^((m_occ-1)/m_occ)</f>
        <v>5458.35235011968</v>
      </c>
      <c r="F38" s="41" t="n">
        <f aca="false">(Evap_dia+Infil_dia)/1000*E38</f>
        <v>32.7501141007181</v>
      </c>
      <c r="G38" s="41" t="n">
        <f aca="false">IF(C38&gt;0,Cons_dia,0)</f>
        <v>2</v>
      </c>
      <c r="H38" s="48" t="n">
        <f aca="false">Fondo_occ+D38</f>
        <v>387.604491824409</v>
      </c>
      <c r="I38" s="37" t="n">
        <f aca="false">MAX(0,I37-L37-M37)</f>
        <v>7466.88668696566</v>
      </c>
      <c r="J38" s="48" t="n">
        <f aca="false">Hmax_ori*(I38/Vmod_ori)^(1/m_ori)</f>
        <v>3.50449884630996</v>
      </c>
      <c r="K38" s="37" t="n">
        <f aca="false">Espejo_ori*(I38/Vmod_ori)^((m_ori-1)/m_ori)</f>
        <v>5465.13644090181</v>
      </c>
      <c r="L38" s="41" t="n">
        <f aca="false">(Evap_dia+Infil_dia)/1000*K38</f>
        <v>32.7908186454109</v>
      </c>
      <c r="M38" s="41" t="n">
        <f aca="false">IF(I38&gt;0,Cons_dia,0)</f>
        <v>2</v>
      </c>
      <c r="N38" s="48" t="n">
        <f aca="false">Fondo_ori+J38</f>
        <v>386.60449884631</v>
      </c>
      <c r="O38" s="33" t="n">
        <f aca="false">Cota_casa</f>
        <v>383</v>
      </c>
    </row>
    <row r="39" customFormat="false" ht="15" hidden="false" customHeight="false" outlineLevel="0" collapsed="false">
      <c r="B39" s="25" t="n">
        <v>16</v>
      </c>
      <c r="C39" s="37" t="n">
        <f aca="false">MAX(0,C38-F38-G38)</f>
        <v>7032.41977709236</v>
      </c>
      <c r="D39" s="48" t="n">
        <f aca="false">Hmax_occ*(C39/Vmod_occ)^(1/m_occ)</f>
        <v>3.19811606091454</v>
      </c>
      <c r="E39" s="37" t="n">
        <f aca="false">Espejo_occ*(C39/Vmod_occ)^((m_occ-1)/m_occ)</f>
        <v>5442.34124615426</v>
      </c>
      <c r="F39" s="41" t="n">
        <f aca="false">(Evap_dia+Infil_dia)/1000*E39</f>
        <v>32.6540474769256</v>
      </c>
      <c r="G39" s="41" t="n">
        <f aca="false">IF(C39&gt;0,Cons_dia,0)</f>
        <v>2</v>
      </c>
      <c r="H39" s="48" t="n">
        <f aca="false">Fondo_occ+D39</f>
        <v>387.598116060915</v>
      </c>
      <c r="I39" s="37" t="n">
        <f aca="false">MAX(0,I38-L38-M38)</f>
        <v>7432.09586832025</v>
      </c>
      <c r="J39" s="48" t="n">
        <f aca="false">Hmax_ori*(I39/Vmod_ori)^(1/m_ori)</f>
        <v>3.49812381882603</v>
      </c>
      <c r="K39" s="37" t="n">
        <f aca="false">Espejo_ori*(I39/Vmod_ori)^((m_ori-1)/m_ori)</f>
        <v>5449.58580358059</v>
      </c>
      <c r="L39" s="41" t="n">
        <f aca="false">(Evap_dia+Infil_dia)/1000*K39</f>
        <v>32.6975148214835</v>
      </c>
      <c r="M39" s="41" t="n">
        <f aca="false">IF(I39&gt;0,Cons_dia,0)</f>
        <v>2</v>
      </c>
      <c r="N39" s="48" t="n">
        <f aca="false">Fondo_ori+J39</f>
        <v>386.598123818826</v>
      </c>
      <c r="O39" s="33" t="n">
        <f aca="false">Cota_casa</f>
        <v>383</v>
      </c>
    </row>
    <row r="40" customFormat="false" ht="15" hidden="false" customHeight="false" outlineLevel="0" collapsed="false">
      <c r="B40" s="25" t="n">
        <v>17</v>
      </c>
      <c r="C40" s="37" t="n">
        <f aca="false">MAX(0,C39-F39-G39)</f>
        <v>6997.76572961543</v>
      </c>
      <c r="D40" s="48" t="n">
        <f aca="false">Hmax_occ*(C40/Vmod_occ)^(1/m_occ)</f>
        <v>3.1917391975845</v>
      </c>
      <c r="E40" s="37" t="n">
        <f aca="false">Espejo_occ*(C40/Vmod_occ)^((m_occ-1)/m_occ)</f>
        <v>5426.34253885954</v>
      </c>
      <c r="F40" s="41" t="n">
        <f aca="false">(Evap_dia+Infil_dia)/1000*E40</f>
        <v>32.5580552331573</v>
      </c>
      <c r="G40" s="41" t="n">
        <f aca="false">IF(C40&gt;0,Cons_dia,0)</f>
        <v>2</v>
      </c>
      <c r="H40" s="48" t="n">
        <f aca="false">Fondo_occ+D40</f>
        <v>387.591739197585</v>
      </c>
      <c r="I40" s="37" t="n">
        <f aca="false">MAX(0,I39-L39-M39)</f>
        <v>7397.39835349877</v>
      </c>
      <c r="J40" s="48" t="n">
        <f aca="false">Hmax_ori*(I40/Vmod_ori)^(1/m_ori)</f>
        <v>3.49174772751101</v>
      </c>
      <c r="K40" s="37" t="n">
        <f aca="false">Espejo_ori*(I40/Vmod_ori)^((m_ori-1)/m_ori)</f>
        <v>5434.04857894749</v>
      </c>
      <c r="L40" s="41" t="n">
        <f aca="false">(Evap_dia+Infil_dia)/1000*K40</f>
        <v>32.6042914736849</v>
      </c>
      <c r="M40" s="41" t="n">
        <f aca="false">IF(I40&gt;0,Cons_dia,0)</f>
        <v>2</v>
      </c>
      <c r="N40" s="48" t="n">
        <f aca="false">Fondo_ori+J40</f>
        <v>386.591747727511</v>
      </c>
      <c r="O40" s="33" t="n">
        <f aca="false">Cota_casa</f>
        <v>383</v>
      </c>
    </row>
    <row r="41" customFormat="false" ht="15" hidden="false" customHeight="false" outlineLevel="0" collapsed="false">
      <c r="B41" s="25" t="n">
        <v>18</v>
      </c>
      <c r="C41" s="37" t="n">
        <f aca="false">MAX(0,C40-F40-G40)</f>
        <v>6963.20767438227</v>
      </c>
      <c r="D41" s="48" t="n">
        <f aca="false">Hmax_occ*(C41/Vmod_occ)^(1/m_occ)</f>
        <v>3.18536122879196</v>
      </c>
      <c r="E41" s="37" t="n">
        <f aca="false">Espejo_occ*(C41/Vmod_occ)^((m_occ-1)/m_occ)</f>
        <v>5410.35623788014</v>
      </c>
      <c r="F41" s="41" t="n">
        <f aca="false">(Evap_dia+Infil_dia)/1000*E41</f>
        <v>32.4621374272808</v>
      </c>
      <c r="G41" s="41" t="n">
        <f aca="false">IF(C41&gt;0,Cons_dia,0)</f>
        <v>2</v>
      </c>
      <c r="H41" s="48" t="n">
        <f aca="false">Fondo_occ+D41</f>
        <v>387.585361228792</v>
      </c>
      <c r="I41" s="37" t="n">
        <f aca="false">MAX(0,I40-L40-M40)</f>
        <v>7362.79406202508</v>
      </c>
      <c r="J41" s="48" t="n">
        <f aca="false">Hmax_ori*(I41/Vmod_ori)^(1/m_ori)</f>
        <v>3.48537056720715</v>
      </c>
      <c r="K41" s="37" t="n">
        <f aca="false">Espejo_ori*(I41/Vmod_ori)^((m_ori-1)/m_ori)</f>
        <v>5418.52477517978</v>
      </c>
      <c r="L41" s="41" t="n">
        <f aca="false">(Evap_dia+Infil_dia)/1000*K41</f>
        <v>32.5111486510787</v>
      </c>
      <c r="M41" s="41" t="n">
        <f aca="false">IF(I41&gt;0,Cons_dia,0)</f>
        <v>2</v>
      </c>
      <c r="N41" s="48" t="n">
        <f aca="false">Fondo_ori+J41</f>
        <v>386.585370567207</v>
      </c>
      <c r="O41" s="33" t="n">
        <f aca="false">Cota_casa</f>
        <v>383</v>
      </c>
    </row>
    <row r="42" customFormat="false" ht="15" hidden="false" customHeight="false" outlineLevel="0" collapsed="false">
      <c r="B42" s="25" t="n">
        <v>19</v>
      </c>
      <c r="C42" s="37" t="n">
        <f aca="false">MAX(0,C41-F41-G41)</f>
        <v>6928.74553695499</v>
      </c>
      <c r="D42" s="48" t="n">
        <f aca="false">Hmax_occ*(C42/Vmod_occ)^(1/m_occ)</f>
        <v>3.17898214886819</v>
      </c>
      <c r="E42" s="37" t="n">
        <f aca="false">Espejo_occ*(C42/Vmod_occ)^((m_occ-1)/m_occ)</f>
        <v>5394.38235287638</v>
      </c>
      <c r="F42" s="41" t="n">
        <f aca="false">(Evap_dia+Infil_dia)/1000*E42</f>
        <v>32.3662941172583</v>
      </c>
      <c r="G42" s="41" t="n">
        <f aca="false">IF(C42&gt;0,Cons_dia,0)</f>
        <v>2</v>
      </c>
      <c r="H42" s="48" t="n">
        <f aca="false">Fondo_occ+D42</f>
        <v>387.578982148868</v>
      </c>
      <c r="I42" s="37" t="n">
        <f aca="false">MAX(0,I41-L41-M41)</f>
        <v>7328.282913374</v>
      </c>
      <c r="J42" s="48" t="n">
        <f aca="false">Hmax_ori*(I42/Vmod_ori)^(1/m_ori)</f>
        <v>3.47899233272078</v>
      </c>
      <c r="K42" s="37" t="n">
        <f aca="false">Espejo_ori*(I42/Vmod_ori)^((m_ori-1)/m_ori)</f>
        <v>5403.0144004669</v>
      </c>
      <c r="L42" s="41" t="n">
        <f aca="false">(Evap_dia+Infil_dia)/1000*K42</f>
        <v>32.4180864028014</v>
      </c>
      <c r="M42" s="41" t="n">
        <f aca="false">IF(I42&gt;0,Cons_dia,0)</f>
        <v>2</v>
      </c>
      <c r="N42" s="48" t="n">
        <f aca="false">Fondo_ori+J42</f>
        <v>386.578992332721</v>
      </c>
      <c r="O42" s="33" t="n">
        <f aca="false">Cota_casa</f>
        <v>383</v>
      </c>
    </row>
    <row r="43" customFormat="false" ht="15" hidden="false" customHeight="false" outlineLevel="0" collapsed="false">
      <c r="B43" s="25" t="n">
        <v>20</v>
      </c>
      <c r="C43" s="37" t="n">
        <f aca="false">MAX(0,C42-F42-G42)</f>
        <v>6894.37924283774</v>
      </c>
      <c r="D43" s="48" t="n">
        <f aca="false">Hmax_occ*(C43/Vmod_occ)^(1/m_occ)</f>
        <v>3.17260195210238</v>
      </c>
      <c r="E43" s="37" t="n">
        <f aca="false">Espejo_occ*(C43/Vmod_occ)^((m_occ-1)/m_occ)</f>
        <v>5378.42089352429</v>
      </c>
      <c r="F43" s="41" t="n">
        <f aca="false">(Evap_dia+Infil_dia)/1000*E43</f>
        <v>32.2705253611458</v>
      </c>
      <c r="G43" s="41" t="n">
        <f aca="false">IF(C43&gt;0,Cons_dia,0)</f>
        <v>2</v>
      </c>
      <c r="H43" s="48" t="n">
        <f aca="false">Fondo_occ+D43</f>
        <v>387.572601952102</v>
      </c>
      <c r="I43" s="37" t="n">
        <f aca="false">MAX(0,I42-L42-M42)</f>
        <v>7293.8648269712</v>
      </c>
      <c r="J43" s="48" t="n">
        <f aca="false">Hmax_ori*(I43/Vmod_ori)^(1/m_ori)</f>
        <v>3.47261301882204</v>
      </c>
      <c r="K43" s="37" t="n">
        <f aca="false">Espejo_ori*(I43/Vmod_ori)^((m_ori-1)/m_ori)</f>
        <v>5387.51746301043</v>
      </c>
      <c r="L43" s="41" t="n">
        <f aca="false">(Evap_dia+Infil_dia)/1000*K43</f>
        <v>32.3251047780626</v>
      </c>
      <c r="M43" s="41" t="n">
        <f aca="false">IF(I43&gt;0,Cons_dia,0)</f>
        <v>2</v>
      </c>
      <c r="N43" s="48" t="n">
        <f aca="false">Fondo_ori+J43</f>
        <v>386.572613018822</v>
      </c>
      <c r="O43" s="33" t="n">
        <f aca="false">Cota_casa</f>
        <v>383</v>
      </c>
    </row>
    <row r="44" customFormat="false" ht="15" hidden="false" customHeight="false" outlineLevel="0" collapsed="false">
      <c r="B44" s="25" t="n">
        <v>21</v>
      </c>
      <c r="C44" s="37" t="n">
        <f aca="false">MAX(0,C43-F43-G43)</f>
        <v>6860.10871747659</v>
      </c>
      <c r="D44" s="48" t="n">
        <f aca="false">Hmax_occ*(C44/Vmod_occ)^(1/m_occ)</f>
        <v>3.16622063274123</v>
      </c>
      <c r="E44" s="37" t="n">
        <f aca="false">Espejo_occ*(C44/Vmod_occ)^((m_occ-1)/m_occ)</f>
        <v>5362.47186951555</v>
      </c>
      <c r="F44" s="41" t="n">
        <f aca="false">(Evap_dia+Infil_dia)/1000*E44</f>
        <v>32.1748312170933</v>
      </c>
      <c r="G44" s="41" t="n">
        <f aca="false">IF(C44&gt;0,Cons_dia,0)</f>
        <v>2</v>
      </c>
      <c r="H44" s="48" t="n">
        <f aca="false">Fondo_occ+D44</f>
        <v>387.566220632741</v>
      </c>
      <c r="I44" s="37" t="n">
        <f aca="false">MAX(0,I43-L43-M43)</f>
        <v>7259.53972219314</v>
      </c>
      <c r="J44" s="48" t="n">
        <f aca="false">Hmax_ori*(I44/Vmod_ori)^(1/m_ori)</f>
        <v>3.46623262024454</v>
      </c>
      <c r="K44" s="37" t="n">
        <f aca="false">Espejo_ori*(I44/Vmod_ori)^((m_ori-1)/m_ori)</f>
        <v>5372.03397102406</v>
      </c>
      <c r="L44" s="41" t="n">
        <f aca="false">(Evap_dia+Infil_dia)/1000*K44</f>
        <v>32.2322038261444</v>
      </c>
      <c r="M44" s="41" t="n">
        <f aca="false">IF(I44&gt;0,Cons_dia,0)</f>
        <v>2</v>
      </c>
      <c r="N44" s="48" t="n">
        <f aca="false">Fondo_ori+J44</f>
        <v>386.566232620245</v>
      </c>
      <c r="O44" s="33" t="n">
        <f aca="false">Cota_casa</f>
        <v>383</v>
      </c>
    </row>
    <row r="45" customFormat="false" ht="15" hidden="false" customHeight="false" outlineLevel="0" collapsed="false">
      <c r="B45" s="25" t="n">
        <v>22</v>
      </c>
      <c r="C45" s="37" t="n">
        <f aca="false">MAX(0,C44-F44-G44)</f>
        <v>6825.9338862595</v>
      </c>
      <c r="D45" s="48" t="n">
        <f aca="false">Hmax_occ*(C45/Vmod_occ)^(1/m_occ)</f>
        <v>3.15983818498852</v>
      </c>
      <c r="E45" s="37" t="n">
        <f aca="false">Espejo_occ*(C45/Vmod_occ)^((m_occ-1)/m_occ)</f>
        <v>5346.53529055749</v>
      </c>
      <c r="F45" s="41" t="n">
        <f aca="false">(Evap_dia+Infil_dia)/1000*E45</f>
        <v>32.0792117433449</v>
      </c>
      <c r="G45" s="41" t="n">
        <f aca="false">IF(C45&gt;0,Cons_dia,0)</f>
        <v>2</v>
      </c>
      <c r="H45" s="48" t="n">
        <f aca="false">Fondo_occ+D45</f>
        <v>387.559838184989</v>
      </c>
      <c r="I45" s="37" t="n">
        <f aca="false">MAX(0,I44-L44-M44)</f>
        <v>7225.30751836699</v>
      </c>
      <c r="J45" s="48" t="n">
        <f aca="false">Hmax_ori*(I45/Vmod_ori)^(1/m_ori)</f>
        <v>3.45985113168497</v>
      </c>
      <c r="K45" s="37" t="n">
        <f aca="false">Espejo_ori*(I45/Vmod_ori)^((m_ori-1)/m_ori)</f>
        <v>5356.56393273362</v>
      </c>
      <c r="L45" s="41" t="n">
        <f aca="false">(Evap_dia+Infil_dia)/1000*K45</f>
        <v>32.1393835964017</v>
      </c>
      <c r="M45" s="41" t="n">
        <f aca="false">IF(I45&gt;0,Cons_dia,0)</f>
        <v>2</v>
      </c>
      <c r="N45" s="48" t="n">
        <f aca="false">Fondo_ori+J45</f>
        <v>386.559851131685</v>
      </c>
      <c r="O45" s="33" t="n">
        <f aca="false">Cota_casa</f>
        <v>383</v>
      </c>
    </row>
    <row r="46" customFormat="false" ht="15" hidden="false" customHeight="false" outlineLevel="0" collapsed="false">
      <c r="B46" s="25" t="n">
        <v>23</v>
      </c>
      <c r="C46" s="37" t="n">
        <f aca="false">MAX(0,C45-F45-G45)</f>
        <v>6791.85467451615</v>
      </c>
      <c r="D46" s="48" t="n">
        <f aca="false">Hmax_occ*(C46/Vmod_occ)^(1/m_occ)</f>
        <v>3.15345460300472</v>
      </c>
      <c r="E46" s="37" t="n">
        <f aca="false">Espejo_occ*(C46/Vmod_occ)^((m_occ-1)/m_occ)</f>
        <v>5330.61116637306</v>
      </c>
      <c r="F46" s="41" t="n">
        <f aca="false">(Evap_dia+Infil_dia)/1000*E46</f>
        <v>31.9836669982384</v>
      </c>
      <c r="G46" s="41" t="n">
        <f aca="false">IF(C46&gt;0,Cons_dia,0)</f>
        <v>2</v>
      </c>
      <c r="H46" s="48" t="n">
        <f aca="false">Fondo_occ+D46</f>
        <v>387.553454603005</v>
      </c>
      <c r="I46" s="37" t="n">
        <f aca="false">MAX(0,I45-L45-M45)</f>
        <v>7191.16813477059</v>
      </c>
      <c r="J46" s="48" t="n">
        <f aca="false">Hmax_ori*(I46/Vmod_ori)^(1/m_ori)</f>
        <v>3.45346854780286</v>
      </c>
      <c r="K46" s="37" t="n">
        <f aca="false">Espejo_ori*(I46/Vmod_ori)^((m_ori-1)/m_ori)</f>
        <v>5341.10735637704</v>
      </c>
      <c r="L46" s="41" t="n">
        <f aca="false">(Evap_dia+Infil_dia)/1000*K46</f>
        <v>32.0466441382622</v>
      </c>
      <c r="M46" s="41" t="n">
        <f aca="false">IF(I46&gt;0,Cons_dia,0)</f>
        <v>2</v>
      </c>
      <c r="N46" s="48" t="n">
        <f aca="false">Fondo_ori+J46</f>
        <v>386.553468547803</v>
      </c>
      <c r="O46" s="33" t="n">
        <f aca="false">Cota_casa</f>
        <v>383</v>
      </c>
    </row>
    <row r="47" customFormat="false" ht="15" hidden="false" customHeight="false" outlineLevel="0" collapsed="false">
      <c r="B47" s="25" t="n">
        <v>24</v>
      </c>
      <c r="C47" s="37" t="n">
        <f aca="false">MAX(0,C46-F46-G46)</f>
        <v>6757.87100751791</v>
      </c>
      <c r="D47" s="48" t="n">
        <f aca="false">Hmax_occ*(C47/Vmod_occ)^(1/m_occ)</f>
        <v>3.1470698809065</v>
      </c>
      <c r="E47" s="37" t="n">
        <f aca="false">Espejo_occ*(C47/Vmod_occ)^((m_occ-1)/m_occ)</f>
        <v>5314.69950670084</v>
      </c>
      <c r="F47" s="41" t="n">
        <f aca="false">(Evap_dia+Infil_dia)/1000*E47</f>
        <v>31.888197040205</v>
      </c>
      <c r="G47" s="41" t="n">
        <f aca="false">IF(C47&gt;0,Cons_dia,0)</f>
        <v>2</v>
      </c>
      <c r="H47" s="48" t="n">
        <f aca="false">Fondo_occ+D47</f>
        <v>387.547069880906</v>
      </c>
      <c r="I47" s="37" t="n">
        <f aca="false">MAX(0,I46-L46-M46)</f>
        <v>7157.12149063233</v>
      </c>
      <c r="J47" s="48" t="n">
        <f aca="false">Hmax_ori*(I47/Vmod_ori)^(1/m_ori)</f>
        <v>3.44708486322012</v>
      </c>
      <c r="K47" s="37" t="n">
        <f aca="false">Espejo_ori*(I47/Vmod_ori)^((m_ori-1)/m_ori)</f>
        <v>5325.66425020434</v>
      </c>
      <c r="L47" s="41" t="n">
        <f aca="false">(Evap_dia+Infil_dia)/1000*K47</f>
        <v>31.953985501226</v>
      </c>
      <c r="M47" s="41" t="n">
        <f aca="false">IF(I47&gt;0,Cons_dia,0)</f>
        <v>2</v>
      </c>
      <c r="N47" s="48" t="n">
        <f aca="false">Fondo_ori+J47</f>
        <v>386.54708486322</v>
      </c>
      <c r="O47" s="33" t="n">
        <f aca="false">Cota_casa</f>
        <v>383</v>
      </c>
    </row>
    <row r="48" customFormat="false" ht="15" hidden="false" customHeight="false" outlineLevel="0" collapsed="false">
      <c r="B48" s="25" t="n">
        <v>25</v>
      </c>
      <c r="C48" s="37" t="n">
        <f aca="false">MAX(0,C47-F47-G47)</f>
        <v>6723.98281047771</v>
      </c>
      <c r="D48" s="48" t="n">
        <f aca="false">Hmax_occ*(C48/Vmod_occ)^(1/m_occ)</f>
        <v>3.14068401276637</v>
      </c>
      <c r="E48" s="37" t="n">
        <f aca="false">Espejo_occ*(C48/Vmod_occ)^((m_occ-1)/m_occ)</f>
        <v>5298.80032129494</v>
      </c>
      <c r="F48" s="41" t="n">
        <f aca="false">(Evap_dia+Infil_dia)/1000*E48</f>
        <v>31.7928019277696</v>
      </c>
      <c r="G48" s="41" t="n">
        <f aca="false">IF(C48&gt;0,Cons_dia,0)</f>
        <v>2</v>
      </c>
      <c r="H48" s="48" t="n">
        <f aca="false">Fondo_occ+D48</f>
        <v>387.540684012766</v>
      </c>
      <c r="I48" s="37" t="n">
        <f aca="false">MAX(0,I47-L47-M47)</f>
        <v>7123.1675051311</v>
      </c>
      <c r="J48" s="48" t="n">
        <f aca="false">Hmax_ori*(I48/Vmod_ori)^(1/m_ori)</f>
        <v>3.4407000725208</v>
      </c>
      <c r="K48" s="37" t="n">
        <f aca="false">Espejo_ori*(I48/Vmod_ori)^((m_ori-1)/m_ori)</f>
        <v>5310.23462247763</v>
      </c>
      <c r="L48" s="41" t="n">
        <f aca="false">(Evap_dia+Infil_dia)/1000*K48</f>
        <v>31.8614077348658</v>
      </c>
      <c r="M48" s="41" t="n">
        <f aca="false">IF(I48&gt;0,Cons_dia,0)</f>
        <v>2</v>
      </c>
      <c r="N48" s="48" t="n">
        <f aca="false">Fondo_ori+J48</f>
        <v>386.540700072521</v>
      </c>
      <c r="O48" s="33" t="n">
        <f aca="false">Cota_casa</f>
        <v>383</v>
      </c>
    </row>
    <row r="49" customFormat="false" ht="15" hidden="false" customHeight="false" outlineLevel="0" collapsed="false">
      <c r="B49" s="25" t="n">
        <v>26</v>
      </c>
      <c r="C49" s="37" t="n">
        <f aca="false">MAX(0,C48-F48-G48)</f>
        <v>6690.19000854994</v>
      </c>
      <c r="D49" s="48" t="n">
        <f aca="false">Hmax_occ*(C49/Vmod_occ)^(1/m_occ)</f>
        <v>3.1342969926122</v>
      </c>
      <c r="E49" s="37" t="n">
        <f aca="false">Espejo_occ*(C49/Vmod_occ)^((m_occ-1)/m_occ)</f>
        <v>5282.91361992505</v>
      </c>
      <c r="F49" s="41" t="n">
        <f aca="false">(Evap_dia+Infil_dia)/1000*E49</f>
        <v>31.6974817195503</v>
      </c>
      <c r="G49" s="41" t="n">
        <f aca="false">IF(C49&gt;0,Cons_dia,0)</f>
        <v>2</v>
      </c>
      <c r="H49" s="48" t="n">
        <f aca="false">Fondo_occ+D49</f>
        <v>387.534296992612</v>
      </c>
      <c r="I49" s="37" t="n">
        <f aca="false">MAX(0,I48-L48-M48)</f>
        <v>7089.30609739624</v>
      </c>
      <c r="J49" s="48" t="n">
        <f aca="false">Hmax_ori*(I49/Vmod_ori)^(1/m_ori)</f>
        <v>3.43431417025068</v>
      </c>
      <c r="K49" s="37" t="n">
        <f aca="false">Espejo_ori*(I49/Vmod_ori)^((m_ori-1)/m_ori)</f>
        <v>5294.8184814711</v>
      </c>
      <c r="L49" s="41" t="n">
        <f aca="false">(Evap_dia+Infil_dia)/1000*K49</f>
        <v>31.7689108888266</v>
      </c>
      <c r="M49" s="41" t="n">
        <f aca="false">IF(I49&gt;0,Cons_dia,0)</f>
        <v>2</v>
      </c>
      <c r="N49" s="48" t="n">
        <f aca="false">Fondo_ori+J49</f>
        <v>386.534314170251</v>
      </c>
      <c r="O49" s="33" t="n">
        <f aca="false">Cota_casa</f>
        <v>383</v>
      </c>
    </row>
    <row r="50" customFormat="false" ht="15" hidden="false" customHeight="false" outlineLevel="0" collapsed="false">
      <c r="B50" s="25" t="n">
        <v>27</v>
      </c>
      <c r="C50" s="37" t="n">
        <f aca="false">MAX(0,C49-F49-G49)</f>
        <v>6656.49252683039</v>
      </c>
      <c r="D50" s="48" t="n">
        <f aca="false">Hmax_occ*(C50/Vmod_occ)^(1/m_occ)</f>
        <v>3.12790881442677</v>
      </c>
      <c r="E50" s="37" t="n">
        <f aca="false">Espejo_occ*(C50/Vmod_occ)^((m_occ-1)/m_occ)</f>
        <v>5267.03941237636</v>
      </c>
      <c r="F50" s="41" t="n">
        <f aca="false">(Evap_dia+Infil_dia)/1000*E50</f>
        <v>31.6022364742582</v>
      </c>
      <c r="G50" s="41" t="n">
        <f aca="false">IF(C50&gt;0,Cons_dia,0)</f>
        <v>2</v>
      </c>
      <c r="H50" s="48" t="n">
        <f aca="false">Fondo_occ+D50</f>
        <v>387.527908814427</v>
      </c>
      <c r="I50" s="37" t="n">
        <f aca="false">MAX(0,I49-L49-M49)</f>
        <v>7055.53718650741</v>
      </c>
      <c r="J50" s="48" t="n">
        <f aca="false">Hmax_ori*(I50/Vmod_ori)^(1/m_ori)</f>
        <v>3.42792715091689</v>
      </c>
      <c r="K50" s="37" t="n">
        <f aca="false">Espejo_ori*(I50/Vmod_ori)^((m_ori-1)/m_ori)</f>
        <v>5279.41583547096</v>
      </c>
      <c r="L50" s="41" t="n">
        <f aca="false">(Evap_dia+Infil_dia)/1000*K50</f>
        <v>31.6764950128258</v>
      </c>
      <c r="M50" s="41" t="n">
        <f aca="false">IF(I50&gt;0,Cons_dia,0)</f>
        <v>2</v>
      </c>
      <c r="N50" s="48" t="n">
        <f aca="false">Fondo_ori+J50</f>
        <v>386.527927150917</v>
      </c>
      <c r="O50" s="33" t="n">
        <f aca="false">Cota_casa</f>
        <v>383</v>
      </c>
    </row>
    <row r="51" customFormat="false" ht="15" hidden="false" customHeight="false" outlineLevel="0" collapsed="false">
      <c r="B51" s="25" t="n">
        <v>28</v>
      </c>
      <c r="C51" s="37" t="n">
        <f aca="false">MAX(0,C50-F50-G50)</f>
        <v>6622.89029035613</v>
      </c>
      <c r="D51" s="48" t="n">
        <f aca="false">Hmax_occ*(C51/Vmod_occ)^(1/m_occ)</f>
        <v>3.12151947214735</v>
      </c>
      <c r="E51" s="37" t="n">
        <f aca="false">Espejo_occ*(C51/Vmod_occ)^((m_occ-1)/m_occ)</f>
        <v>5251.17770844957</v>
      </c>
      <c r="F51" s="41" t="n">
        <f aca="false">(Evap_dia+Infil_dia)/1000*E51</f>
        <v>31.5070662506974</v>
      </c>
      <c r="G51" s="41" t="n">
        <f aca="false">IF(C51&gt;0,Cons_dia,0)</f>
        <v>2</v>
      </c>
      <c r="H51" s="48" t="n">
        <f aca="false">Fondo_occ+D51</f>
        <v>387.521519472147</v>
      </c>
      <c r="I51" s="37" t="n">
        <f aca="false">MAX(0,I50-L50-M50)</f>
        <v>7021.86069149459</v>
      </c>
      <c r="J51" s="48" t="n">
        <f aca="false">Hmax_ori*(I51/Vmod_ori)^(1/m_ori)</f>
        <v>3.42153900898764</v>
      </c>
      <c r="K51" s="37" t="n">
        <f aca="false">Espejo_ori*(I51/Vmod_ori)^((m_ori-1)/m_ori)</f>
        <v>5264.02669277551</v>
      </c>
      <c r="L51" s="41" t="n">
        <f aca="false">(Evap_dia+Infil_dia)/1000*K51</f>
        <v>31.5841601566531</v>
      </c>
      <c r="M51" s="41" t="n">
        <f aca="false">IF(I51&gt;0,Cons_dia,0)</f>
        <v>2</v>
      </c>
      <c r="N51" s="48" t="n">
        <f aca="false">Fondo_ori+J51</f>
        <v>386.521539008988</v>
      </c>
      <c r="O51" s="33" t="n">
        <f aca="false">Cota_casa</f>
        <v>383</v>
      </c>
    </row>
    <row r="52" customFormat="false" ht="15" hidden="false" customHeight="false" outlineLevel="0" collapsed="false">
      <c r="B52" s="25" t="n">
        <v>29</v>
      </c>
      <c r="C52" s="37" t="n">
        <f aca="false">MAX(0,C51-F51-G51)</f>
        <v>6589.38322410543</v>
      </c>
      <c r="D52" s="48" t="n">
        <f aca="false">Hmax_occ*(C52/Vmod_occ)^(1/m_occ)</f>
        <v>3.11512895966523</v>
      </c>
      <c r="E52" s="37" t="n">
        <f aca="false">Espejo_occ*(C52/Vmod_occ)^((m_occ-1)/m_occ)</f>
        <v>5235.32851796081</v>
      </c>
      <c r="F52" s="41" t="n">
        <f aca="false">(Evap_dia+Infil_dia)/1000*E52</f>
        <v>31.4119711077649</v>
      </c>
      <c r="G52" s="41" t="n">
        <f aca="false">IF(C52&gt;0,Cons_dia,0)</f>
        <v>2</v>
      </c>
      <c r="H52" s="48" t="n">
        <f aca="false">Fondo_occ+D52</f>
        <v>387.515128959665</v>
      </c>
      <c r="I52" s="37" t="n">
        <f aca="false">MAX(0,I51-L51-M51)</f>
        <v>6988.27653133793</v>
      </c>
      <c r="J52" s="48" t="n">
        <f aca="false">Hmax_ori*(I52/Vmod_ori)^(1/m_ori)</f>
        <v>3.41514973889177</v>
      </c>
      <c r="K52" s="37" t="n">
        <f aca="false">Espejo_ori*(I52/Vmod_ori)^((m_ori-1)/m_ori)</f>
        <v>5248.65106169503</v>
      </c>
      <c r="L52" s="41" t="n">
        <f aca="false">(Evap_dia+Infil_dia)/1000*K52</f>
        <v>31.4919063701702</v>
      </c>
      <c r="M52" s="41" t="n">
        <f aca="false">IF(I52&gt;0,Cons_dia,0)</f>
        <v>2</v>
      </c>
      <c r="N52" s="48" t="n">
        <f aca="false">Fondo_ori+J52</f>
        <v>386.515149738892</v>
      </c>
      <c r="O52" s="33" t="n">
        <f aca="false">Cota_casa</f>
        <v>383</v>
      </c>
    </row>
    <row r="53" customFormat="false" ht="15" hidden="false" customHeight="false" outlineLevel="0" collapsed="false">
      <c r="B53" s="25" t="n">
        <v>30</v>
      </c>
      <c r="C53" s="37" t="n">
        <f aca="false">MAX(0,C52-F52-G52)</f>
        <v>6555.97125299767</v>
      </c>
      <c r="D53" s="48" t="n">
        <f aca="false">Hmax_occ*(C53/Vmod_occ)^(1/m_occ)</f>
        <v>3.10873727082524</v>
      </c>
      <c r="E53" s="37" t="n">
        <f aca="false">Espejo_occ*(C53/Vmod_occ)^((m_occ-1)/m_occ)</f>
        <v>5219.49185074166</v>
      </c>
      <c r="F53" s="41" t="n">
        <f aca="false">(Evap_dia+Infil_dia)/1000*E53</f>
        <v>31.31695110445</v>
      </c>
      <c r="G53" s="41" t="n">
        <f aca="false">IF(C53&gt;0,Cons_dia,0)</f>
        <v>2</v>
      </c>
      <c r="H53" s="48" t="n">
        <f aca="false">Fondo_occ+D53</f>
        <v>387.508737270825</v>
      </c>
      <c r="I53" s="37" t="n">
        <f aca="false">MAX(0,I52-L52-M52)</f>
        <v>6954.78462496776</v>
      </c>
      <c r="J53" s="48" t="n">
        <f aca="false">Hmax_ori*(I53/Vmod_ori)^(1/m_ori)</f>
        <v>3.40875933501842</v>
      </c>
      <c r="K53" s="37" t="n">
        <f aca="false">Espejo_ori*(I53/Vmod_ori)^((m_ori-1)/m_ori)</f>
        <v>5233.28895055183</v>
      </c>
      <c r="L53" s="41" t="n">
        <f aca="false">(Evap_dia+Infil_dia)/1000*K53</f>
        <v>31.399733703311</v>
      </c>
      <c r="M53" s="41" t="n">
        <f aca="false">IF(I53&gt;0,Cons_dia,0)</f>
        <v>2</v>
      </c>
      <c r="N53" s="48" t="n">
        <f aca="false">Fondo_ori+J53</f>
        <v>386.508759335018</v>
      </c>
      <c r="O53" s="33" t="n">
        <f aca="false">Cota_casa</f>
        <v>383</v>
      </c>
    </row>
    <row r="54" customFormat="false" ht="15" hidden="false" customHeight="false" outlineLevel="0" collapsed="false">
      <c r="B54" s="25" t="n">
        <v>31</v>
      </c>
      <c r="C54" s="37" t="n">
        <f aca="false">MAX(0,C53-F53-G53)</f>
        <v>6522.65430189322</v>
      </c>
      <c r="D54" s="48" t="n">
        <f aca="false">Hmax_occ*(C54/Vmod_occ)^(1/m_occ)</f>
        <v>3.10234439942534</v>
      </c>
      <c r="E54" s="37" t="n">
        <f aca="false">Espejo_occ*(C54/Vmod_occ)^((m_occ-1)/m_occ)</f>
        <v>5203.66771663909</v>
      </c>
      <c r="F54" s="41" t="n">
        <f aca="false">(Evap_dia+Infil_dia)/1000*E54</f>
        <v>31.2220062998345</v>
      </c>
      <c r="G54" s="41" t="n">
        <f aca="false">IF(C54&gt;0,Cons_dia,0)</f>
        <v>2</v>
      </c>
      <c r="H54" s="48" t="n">
        <f aca="false">Fondo_occ+D54</f>
        <v>387.502344399425</v>
      </c>
      <c r="I54" s="37" t="n">
        <f aca="false">MAX(0,I53-L53-M53)</f>
        <v>6921.38489126445</v>
      </c>
      <c r="J54" s="48" t="n">
        <f aca="false">Hmax_ori*(I54/Vmod_ori)^(1/m_ori)</f>
        <v>3.40236779171665</v>
      </c>
      <c r="K54" s="37" t="n">
        <f aca="false">Espejo_ori*(I54/Vmod_ori)^((m_ori-1)/m_ori)</f>
        <v>5217.94036768022</v>
      </c>
      <c r="L54" s="41" t="n">
        <f aca="false">(Evap_dia+Infil_dia)/1000*K54</f>
        <v>31.3076422060813</v>
      </c>
      <c r="M54" s="41" t="n">
        <f aca="false">IF(I54&gt;0,Cons_dia,0)</f>
        <v>2</v>
      </c>
      <c r="N54" s="48" t="n">
        <f aca="false">Fondo_ori+J54</f>
        <v>386.502367791717</v>
      </c>
      <c r="O54" s="33" t="n">
        <f aca="false">Cota_casa</f>
        <v>383</v>
      </c>
    </row>
    <row r="55" customFormat="false" ht="15" hidden="false" customHeight="false" outlineLevel="0" collapsed="false">
      <c r="B55" s="25" t="n">
        <v>32</v>
      </c>
      <c r="C55" s="37" t="n">
        <f aca="false">MAX(0,C54-F54-G54)</f>
        <v>6489.43229559338</v>
      </c>
      <c r="D55" s="48" t="n">
        <f aca="false">Hmax_occ*(C55/Vmod_occ)^(1/m_occ)</f>
        <v>3.09595033921607</v>
      </c>
      <c r="E55" s="37" t="n">
        <f aca="false">Espejo_occ*(C55/Vmod_occ)^((m_occ-1)/m_occ)</f>
        <v>5187.85612551542</v>
      </c>
      <c r="F55" s="41" t="n">
        <f aca="false">(Evap_dia+Infil_dia)/1000*E55</f>
        <v>31.1271367530925</v>
      </c>
      <c r="G55" s="41" t="n">
        <f aca="false">IF(C55&gt;0,Cons_dia,0)</f>
        <v>2</v>
      </c>
      <c r="H55" s="48" t="n">
        <f aca="false">Fondo_occ+D55</f>
        <v>387.495950339216</v>
      </c>
      <c r="I55" s="37" t="n">
        <f aca="false">MAX(0,I54-L54-M54)</f>
        <v>6888.07724905837</v>
      </c>
      <c r="J55" s="48" t="n">
        <f aca="false">Hmax_ori*(I55/Vmod_ori)^(1/m_ori)</f>
        <v>3.39597510329508</v>
      </c>
      <c r="K55" s="37" t="n">
        <f aca="false">Espejo_ori*(I55/Vmod_ori)^((m_ori-1)/m_ori)</f>
        <v>5202.60532142645</v>
      </c>
      <c r="L55" s="41" t="n">
        <f aca="false">(Evap_dia+Infil_dia)/1000*K55</f>
        <v>31.2156319285587</v>
      </c>
      <c r="M55" s="41" t="n">
        <f aca="false">IF(I55&gt;0,Cons_dia,0)</f>
        <v>2</v>
      </c>
      <c r="N55" s="48" t="n">
        <f aca="false">Fondo_ori+J55</f>
        <v>386.495975103295</v>
      </c>
      <c r="O55" s="33" t="n">
        <f aca="false">Cota_casa</f>
        <v>383</v>
      </c>
    </row>
    <row r="56" customFormat="false" ht="15" hidden="false" customHeight="false" outlineLevel="0" collapsed="false">
      <c r="B56" s="25" t="n">
        <v>33</v>
      </c>
      <c r="C56" s="37" t="n">
        <f aca="false">MAX(0,C55-F55-G55)</f>
        <v>6456.30515884029</v>
      </c>
      <c r="D56" s="48" t="n">
        <f aca="false">Hmax_occ*(C56/Vmod_occ)^(1/m_occ)</f>
        <v>3.08955508390014</v>
      </c>
      <c r="E56" s="37" t="n">
        <f aca="false">Espejo_occ*(C56/Vmod_occ)^((m_occ-1)/m_occ)</f>
        <v>5172.0570872483</v>
      </c>
      <c r="F56" s="41" t="n">
        <f aca="false">(Evap_dia+Infil_dia)/1000*E56</f>
        <v>31.0323425234898</v>
      </c>
      <c r="G56" s="41" t="n">
        <f aca="false">IF(C56&gt;0,Cons_dia,0)</f>
        <v>2</v>
      </c>
      <c r="H56" s="48" t="n">
        <f aca="false">Fondo_occ+D56</f>
        <v>387.4895550839</v>
      </c>
      <c r="I56" s="37" t="n">
        <f aca="false">MAX(0,I55-L55-M55)</f>
        <v>6854.86161712981</v>
      </c>
      <c r="J56" s="48" t="n">
        <f aca="false">Hmax_ori*(I56/Vmod_ori)^(1/m_ori)</f>
        <v>3.38958126402148</v>
      </c>
      <c r="K56" s="37" t="n">
        <f aca="false">Espejo_ori*(I56/Vmod_ori)^((m_ori-1)/m_ori)</f>
        <v>5187.28382014876</v>
      </c>
      <c r="L56" s="41" t="n">
        <f aca="false">(Evap_dia+Infil_dia)/1000*K56</f>
        <v>31.1237029208925</v>
      </c>
      <c r="M56" s="41" t="n">
        <f aca="false">IF(I56&gt;0,Cons_dia,0)</f>
        <v>2</v>
      </c>
      <c r="N56" s="48" t="n">
        <f aca="false">Fondo_ori+J56</f>
        <v>386.489581264021</v>
      </c>
      <c r="O56" s="33" t="n">
        <f aca="false">Cota_casa</f>
        <v>383</v>
      </c>
    </row>
    <row r="57" customFormat="false" ht="15" hidden="false" customHeight="false" outlineLevel="0" collapsed="false">
      <c r="B57" s="25" t="n">
        <v>34</v>
      </c>
      <c r="C57" s="37" t="n">
        <f aca="false">MAX(0,C56-F56-G56)</f>
        <v>6423.2728163168</v>
      </c>
      <c r="D57" s="48" t="n">
        <f aca="false">Hmax_occ*(C57/Vmod_occ)^(1/m_occ)</f>
        <v>3.08315862713191</v>
      </c>
      <c r="E57" s="37" t="n">
        <f aca="false">Espejo_occ*(C57/Vmod_occ)^((m_occ-1)/m_occ)</f>
        <v>5156.27061173065</v>
      </c>
      <c r="F57" s="41" t="n">
        <f aca="false">(Evap_dia+Infil_dia)/1000*E57</f>
        <v>30.9376236703839</v>
      </c>
      <c r="G57" s="41" t="n">
        <f aca="false">IF(C57&gt;0,Cons_dia,0)</f>
        <v>2</v>
      </c>
      <c r="H57" s="48" t="n">
        <f aca="false">Fondo_occ+D57</f>
        <v>387.483158627132</v>
      </c>
      <c r="I57" s="37" t="n">
        <f aca="false">MAX(0,I56-L56-M56)</f>
        <v>6821.73791420892</v>
      </c>
      <c r="J57" s="48" t="n">
        <f aca="false">Hmax_ori*(I57/Vmod_ori)^(1/m_ori)</f>
        <v>3.3831862681224</v>
      </c>
      <c r="K57" s="37" t="n">
        <f aca="false">Espejo_ori*(I57/Vmod_ori)^((m_ori-1)/m_ori)</f>
        <v>5171.97587221729</v>
      </c>
      <c r="L57" s="41" t="n">
        <f aca="false">(Evap_dia+Infil_dia)/1000*K57</f>
        <v>31.0318552333037</v>
      </c>
      <c r="M57" s="41" t="n">
        <f aca="false">IF(I57&gt;0,Cons_dia,0)</f>
        <v>2</v>
      </c>
      <c r="N57" s="48" t="n">
        <f aca="false">Fondo_ori+J57</f>
        <v>386.483186268122</v>
      </c>
      <c r="O57" s="33" t="n">
        <f aca="false">Cota_casa</f>
        <v>383</v>
      </c>
    </row>
    <row r="58" customFormat="false" ht="15" hidden="false" customHeight="false" outlineLevel="0" collapsed="false">
      <c r="B58" s="25" t="n">
        <v>35</v>
      </c>
      <c r="C58" s="37" t="n">
        <f aca="false">MAX(0,C57-F57-G57)</f>
        <v>6390.33519264642</v>
      </c>
      <c r="D58" s="48" t="n">
        <f aca="false">Hmax_occ*(C58/Vmod_occ)^(1/m_occ)</f>
        <v>3.07676096251691</v>
      </c>
      <c r="E58" s="37" t="n">
        <f aca="false">Espejo_occ*(C58/Vmod_occ)^((m_occ-1)/m_occ)</f>
        <v>5140.49670887065</v>
      </c>
      <c r="F58" s="41" t="n">
        <f aca="false">(Evap_dia+Infil_dia)/1000*E58</f>
        <v>30.8429802532239</v>
      </c>
      <c r="G58" s="41" t="n">
        <f aca="false">IF(C58&gt;0,Cons_dia,0)</f>
        <v>2</v>
      </c>
      <c r="H58" s="48" t="n">
        <f aca="false">Fondo_occ+D58</f>
        <v>387.476760962517</v>
      </c>
      <c r="I58" s="37" t="n">
        <f aca="false">MAX(0,I57-L57-M57)</f>
        <v>6788.70605897562</v>
      </c>
      <c r="J58" s="48" t="n">
        <f aca="false">Hmax_ori*(I58/Vmod_ori)^(1/m_ori)</f>
        <v>3.37679010978279</v>
      </c>
      <c r="K58" s="37" t="n">
        <f aca="false">Espejo_ori*(I58/Vmod_ori)^((m_ori-1)/m_ori)</f>
        <v>5156.68148601411</v>
      </c>
      <c r="L58" s="41" t="n">
        <f aca="false">(Evap_dia+Infil_dia)/1000*K58</f>
        <v>30.9400889160847</v>
      </c>
      <c r="M58" s="41" t="n">
        <f aca="false">IF(I58&gt;0,Cons_dia,0)</f>
        <v>2</v>
      </c>
      <c r="N58" s="48" t="n">
        <f aca="false">Fondo_ori+J58</f>
        <v>386.476790109783</v>
      </c>
      <c r="O58" s="33" t="n">
        <f aca="false">Cota_casa</f>
        <v>383</v>
      </c>
    </row>
    <row r="59" customFormat="false" ht="15" hidden="false" customHeight="false" outlineLevel="0" collapsed="false">
      <c r="B59" s="25" t="n">
        <v>36</v>
      </c>
      <c r="C59" s="37" t="n">
        <f aca="false">MAX(0,C58-F58-G58)</f>
        <v>6357.49221239319</v>
      </c>
      <c r="D59" s="48" t="n">
        <f aca="false">Hmax_occ*(C59/Vmod_occ)^(1/m_occ)</f>
        <v>3.07036208361135</v>
      </c>
      <c r="E59" s="37" t="n">
        <f aca="false">Espejo_occ*(C59/Vmod_occ)^((m_occ-1)/m_occ)</f>
        <v>5124.73538859167</v>
      </c>
      <c r="F59" s="41" t="n">
        <f aca="false">(Evap_dia+Infil_dia)/1000*E59</f>
        <v>30.74841233155</v>
      </c>
      <c r="G59" s="41" t="n">
        <f aca="false">IF(C59&gt;0,Cons_dia,0)</f>
        <v>2</v>
      </c>
      <c r="H59" s="48" t="n">
        <f aca="false">Fondo_occ+D59</f>
        <v>387.470362083611</v>
      </c>
      <c r="I59" s="37" t="n">
        <f aca="false">MAX(0,I58-L58-M58)</f>
        <v>6755.76597005953</v>
      </c>
      <c r="J59" s="48" t="n">
        <f aca="false">Hmax_ori*(I59/Vmod_ori)^(1/m_ori)</f>
        <v>3.37039278314559</v>
      </c>
      <c r="K59" s="37" t="n">
        <f aca="false">Espejo_ori*(I59/Vmod_ori)^((m_ori-1)/m_ori)</f>
        <v>5141.40066993319</v>
      </c>
      <c r="L59" s="41" t="n">
        <f aca="false">(Evap_dia+Infil_dia)/1000*K59</f>
        <v>30.8484040195991</v>
      </c>
      <c r="M59" s="41" t="n">
        <f aca="false">IF(I59&gt;0,Cons_dia,0)</f>
        <v>2</v>
      </c>
      <c r="N59" s="48" t="n">
        <f aca="false">Fondo_ori+J59</f>
        <v>386.470392783146</v>
      </c>
      <c r="O59" s="33" t="n">
        <f aca="false">Cota_casa</f>
        <v>383</v>
      </c>
    </row>
    <row r="60" customFormat="false" ht="15" hidden="false" customHeight="false" outlineLevel="0" collapsed="false">
      <c r="B60" s="25" t="n">
        <v>37</v>
      </c>
      <c r="C60" s="37" t="n">
        <f aca="false">MAX(0,C59-F59-G59)</f>
        <v>6324.74380006164</v>
      </c>
      <c r="D60" s="48" t="n">
        <f aca="false">Hmax_occ*(C60/Vmod_occ)^(1/m_occ)</f>
        <v>3.06396198392161</v>
      </c>
      <c r="E60" s="37" t="n">
        <f aca="false">Espejo_occ*(C60/Vmod_occ)^((m_occ-1)/m_occ)</f>
        <v>5108.98666083224</v>
      </c>
      <c r="F60" s="41" t="n">
        <f aca="false">(Evap_dia+Infil_dia)/1000*E60</f>
        <v>30.6539199649934</v>
      </c>
      <c r="G60" s="41" t="n">
        <f aca="false">IF(C60&gt;0,Cons_dia,0)</f>
        <v>2</v>
      </c>
      <c r="H60" s="48" t="n">
        <f aca="false">Fondo_occ+D60</f>
        <v>387.463961983922</v>
      </c>
      <c r="I60" s="37" t="n">
        <f aca="false">MAX(0,I59-L59-M59)</f>
        <v>6722.91756603993</v>
      </c>
      <c r="J60" s="48" t="n">
        <f aca="false">Hmax_ori*(I60/Vmod_ori)^(1/m_ori)</f>
        <v>3.36399428231133</v>
      </c>
      <c r="K60" s="37" t="n">
        <f aca="false">Espejo_ori*(I60/Vmod_ori)^((m_ori-1)/m_ori)</f>
        <v>5126.13343238034</v>
      </c>
      <c r="L60" s="41" t="n">
        <f aca="false">(Evap_dia+Infil_dia)/1000*K60</f>
        <v>30.756800594282</v>
      </c>
      <c r="M60" s="41" t="n">
        <f aca="false">IF(I60&gt;0,Cons_dia,0)</f>
        <v>2</v>
      </c>
      <c r="N60" s="48" t="n">
        <f aca="false">Fondo_ori+J60</f>
        <v>386.463994282311</v>
      </c>
      <c r="O60" s="33" t="n">
        <f aca="false">Cota_casa</f>
        <v>383</v>
      </c>
    </row>
    <row r="61" customFormat="false" ht="15" hidden="false" customHeight="false" outlineLevel="0" collapsed="false">
      <c r="B61" s="25" t="n">
        <v>38</v>
      </c>
      <c r="C61" s="37" t="n">
        <f aca="false">MAX(0,C60-F60-G60)</f>
        <v>6292.08988009665</v>
      </c>
      <c r="D61" s="48" t="n">
        <f aca="false">Hmax_occ*(C61/Vmod_occ)^(1/m_occ)</f>
        <v>3.0575606569037</v>
      </c>
      <c r="E61" s="37" t="n">
        <f aca="false">Espejo_occ*(C61/Vmod_occ)^((m_occ-1)/m_occ)</f>
        <v>5093.25053554602</v>
      </c>
      <c r="F61" s="41" t="n">
        <f aca="false">(Evap_dia+Infil_dia)/1000*E61</f>
        <v>30.5595032132761</v>
      </c>
      <c r="G61" s="41" t="n">
        <f aca="false">IF(C61&gt;0,Cons_dia,0)</f>
        <v>2</v>
      </c>
      <c r="H61" s="48" t="n">
        <f aca="false">Fondo_occ+D61</f>
        <v>387.457560656904</v>
      </c>
      <c r="I61" s="37" t="n">
        <f aca="false">MAX(0,I60-L60-M60)</f>
        <v>6690.16076544565</v>
      </c>
      <c r="J61" s="48" t="n">
        <f aca="false">Hmax_ori*(I61/Vmod_ori)^(1/m_ori)</f>
        <v>3.35759460133775</v>
      </c>
      <c r="K61" s="37" t="n">
        <f aca="false">Espejo_ori*(I61/Vmod_ori)^((m_ori-1)/m_ori)</f>
        <v>5110.87978177324</v>
      </c>
      <c r="L61" s="41" t="n">
        <f aca="false">(Evap_dia+Infil_dia)/1000*K61</f>
        <v>30.6652786906394</v>
      </c>
      <c r="M61" s="41" t="n">
        <f aca="false">IF(I61&gt;0,Cons_dia,0)</f>
        <v>2</v>
      </c>
      <c r="N61" s="48" t="n">
        <f aca="false">Fondo_ori+J61</f>
        <v>386.457594601338</v>
      </c>
      <c r="O61" s="33" t="n">
        <f aca="false">Cota_casa</f>
        <v>383</v>
      </c>
    </row>
    <row r="62" customFormat="false" ht="15" hidden="false" customHeight="false" outlineLevel="0" collapsed="false">
      <c r="B62" s="25" t="n">
        <v>39</v>
      </c>
      <c r="C62" s="37" t="n">
        <f aca="false">MAX(0,C61-F61-G61)</f>
        <v>6259.53037688337</v>
      </c>
      <c r="D62" s="48" t="n">
        <f aca="false">Hmax_occ*(C62/Vmod_occ)^(1/m_occ)</f>
        <v>3.05115809596282</v>
      </c>
      <c r="E62" s="37" t="n">
        <f aca="false">Espejo_occ*(C62/Vmod_occ)^((m_occ-1)/m_occ)</f>
        <v>5077.52702270172</v>
      </c>
      <c r="F62" s="41" t="n">
        <f aca="false">(Evap_dia+Infil_dia)/1000*E62</f>
        <v>30.4651621362103</v>
      </c>
      <c r="G62" s="41" t="n">
        <f aca="false">IF(C62&gt;0,Cons_dia,0)</f>
        <v>2</v>
      </c>
      <c r="H62" s="48" t="n">
        <f aca="false">Fondo_occ+D62</f>
        <v>387.451158095963</v>
      </c>
      <c r="I62" s="37" t="n">
        <f aca="false">MAX(0,I61-L61-M61)</f>
        <v>6657.49548675501</v>
      </c>
      <c r="J62" s="48" t="n">
        <f aca="false">Hmax_ori*(I62/Vmod_ori)^(1/m_ori)</f>
        <v>3.35119373423936</v>
      </c>
      <c r="K62" s="37" t="n">
        <f aca="false">Espejo_ori*(I62/Vmod_ori)^((m_ori-1)/m_ori)</f>
        <v>5095.63972654137</v>
      </c>
      <c r="L62" s="41" t="n">
        <f aca="false">(Evap_dia+Infil_dia)/1000*K62</f>
        <v>30.5738383592482</v>
      </c>
      <c r="M62" s="41" t="n">
        <f aca="false">IF(I62&gt;0,Cons_dia,0)</f>
        <v>2</v>
      </c>
      <c r="N62" s="48" t="n">
        <f aca="false">Fondo_ori+J62</f>
        <v>386.451193734239</v>
      </c>
      <c r="O62" s="33" t="n">
        <f aca="false">Cota_casa</f>
        <v>383</v>
      </c>
    </row>
    <row r="63" customFormat="false" ht="15" hidden="false" customHeight="false" outlineLevel="0" collapsed="false">
      <c r="B63" s="25" t="n">
        <v>40</v>
      </c>
      <c r="C63" s="37" t="n">
        <f aca="false">MAX(0,C62-F62-G62)</f>
        <v>6227.06521474716</v>
      </c>
      <c r="D63" s="48" t="n">
        <f aca="false">Hmax_occ*(C63/Vmod_occ)^(1/m_occ)</f>
        <v>3.04475429445277</v>
      </c>
      <c r="E63" s="37" t="n">
        <f aca="false">Espejo_occ*(C63/Vmod_occ)^((m_occ-1)/m_occ)</f>
        <v>5061.81613228308</v>
      </c>
      <c r="F63" s="41" t="n">
        <f aca="false">(Evap_dia+Infil_dia)/1000*E63</f>
        <v>30.3708967936985</v>
      </c>
      <c r="G63" s="41" t="n">
        <f aca="false">IF(C63&gt;0,Cons_dia,0)</f>
        <v>2</v>
      </c>
      <c r="H63" s="48" t="n">
        <f aca="false">Fondo_occ+D63</f>
        <v>387.444754294453</v>
      </c>
      <c r="I63" s="37" t="n">
        <f aca="false">MAX(0,I62-L62-M62)</f>
        <v>6624.92164839576</v>
      </c>
      <c r="J63" s="48" t="n">
        <f aca="false">Hmax_ori*(I63/Vmod_ori)^(1/m_ori)</f>
        <v>3.34479167498704</v>
      </c>
      <c r="K63" s="37" t="n">
        <f aca="false">Espejo_ori*(I63/Vmod_ori)^((m_ori-1)/m_ori)</f>
        <v>5080.41327512602</v>
      </c>
      <c r="L63" s="41" t="n">
        <f aca="false">(Evap_dia+Infil_dia)/1000*K63</f>
        <v>30.4824796507561</v>
      </c>
      <c r="M63" s="41" t="n">
        <f aca="false">IF(I63&gt;0,Cons_dia,0)</f>
        <v>2</v>
      </c>
      <c r="N63" s="48" t="n">
        <f aca="false">Fondo_ori+J63</f>
        <v>386.444791674987</v>
      </c>
      <c r="O63" s="33" t="n">
        <f aca="false">Cota_casa</f>
        <v>383</v>
      </c>
    </row>
    <row r="64" customFormat="false" ht="15" hidden="false" customHeight="false" outlineLevel="0" collapsed="false">
      <c r="B64" s="25" t="n">
        <v>41</v>
      </c>
      <c r="C64" s="37" t="n">
        <f aca="false">MAX(0,C63-F63-G63)</f>
        <v>6194.69431795346</v>
      </c>
      <c r="D64" s="48" t="n">
        <f aca="false">Hmax_occ*(C64/Vmod_occ)^(1/m_occ)</f>
        <v>3.03834924567544</v>
      </c>
      <c r="E64" s="37" t="n">
        <f aca="false">Espejo_occ*(C64/Vmod_occ)^((m_occ-1)/m_occ)</f>
        <v>5046.11787428883</v>
      </c>
      <c r="F64" s="41" t="n">
        <f aca="false">(Evap_dia+Infil_dia)/1000*E64</f>
        <v>30.276707245733</v>
      </c>
      <c r="G64" s="41" t="n">
        <f aca="false">IF(C64&gt;0,Cons_dia,0)</f>
        <v>2</v>
      </c>
      <c r="H64" s="48" t="n">
        <f aca="false">Fondo_occ+D64</f>
        <v>387.438349245675</v>
      </c>
      <c r="I64" s="37" t="n">
        <f aca="false">MAX(0,I63-L63-M63)</f>
        <v>6592.43916874501</v>
      </c>
      <c r="J64" s="48" t="n">
        <f aca="false">Hmax_ori*(I64/Vmod_ori)^(1/m_ori)</f>
        <v>3.33838841750761</v>
      </c>
      <c r="K64" s="37" t="n">
        <f aca="false">Espejo_ori*(I64/Vmod_ori)^((m_ori-1)/m_ori)</f>
        <v>5065.20043598024</v>
      </c>
      <c r="L64" s="41" t="n">
        <f aca="false">(Evap_dia+Infil_dia)/1000*K64</f>
        <v>30.3912026158814</v>
      </c>
      <c r="M64" s="41" t="n">
        <f aca="false">IF(I64&gt;0,Cons_dia,0)</f>
        <v>2</v>
      </c>
      <c r="N64" s="48" t="n">
        <f aca="false">Fondo_ori+J64</f>
        <v>386.438388417508</v>
      </c>
      <c r="O64" s="33" t="n">
        <f aca="false">Cota_casa</f>
        <v>383</v>
      </c>
    </row>
    <row r="65" customFormat="false" ht="15" hidden="false" customHeight="false" outlineLevel="0" collapsed="false">
      <c r="B65" s="25" t="n">
        <v>42</v>
      </c>
      <c r="C65" s="37" t="n">
        <f aca="false">MAX(0,C64-F64-G64)</f>
        <v>6162.41761070773</v>
      </c>
      <c r="D65" s="48" t="n">
        <f aca="false">Hmax_occ*(C65/Vmod_occ)^(1/m_occ)</f>
        <v>3.0319429428803</v>
      </c>
      <c r="E65" s="37" t="n">
        <f aca="false">Espejo_occ*(C65/Vmod_occ)^((m_occ-1)/m_occ)</f>
        <v>5030.43225873257</v>
      </c>
      <c r="F65" s="41" t="n">
        <f aca="false">(Evap_dia+Infil_dia)/1000*E65</f>
        <v>30.1825935523954</v>
      </c>
      <c r="G65" s="41" t="n">
        <f aca="false">IF(C65&gt;0,Cons_dia,0)</f>
        <v>2</v>
      </c>
      <c r="H65" s="48" t="n">
        <f aca="false">Fondo_occ+D65</f>
        <v>387.43194294288</v>
      </c>
      <c r="I65" s="37" t="n">
        <f aca="false">MAX(0,I64-L64-M64)</f>
        <v>6560.04796612913</v>
      </c>
      <c r="J65" s="48" t="n">
        <f aca="false">Hmax_ori*(I65/Vmod_ori)^(1/m_ori)</f>
        <v>3.33198395568345</v>
      </c>
      <c r="K65" s="37" t="n">
        <f aca="false">Espejo_ori*(I65/Vmod_ori)^((m_ori-1)/m_ori)</f>
        <v>5050.00121756882</v>
      </c>
      <c r="L65" s="41" t="n">
        <f aca="false">(Evap_dia+Infil_dia)/1000*K65</f>
        <v>30.3000073054129</v>
      </c>
      <c r="M65" s="41" t="n">
        <f aca="false">IF(I65&gt;0,Cons_dia,0)</f>
        <v>2</v>
      </c>
      <c r="N65" s="48" t="n">
        <f aca="false">Fondo_ori+J65</f>
        <v>386.431983955683</v>
      </c>
      <c r="O65" s="33" t="n">
        <f aca="false">Cota_casa</f>
        <v>383</v>
      </c>
    </row>
    <row r="66" customFormat="false" ht="15" hidden="false" customHeight="false" outlineLevel="0" collapsed="false">
      <c r="B66" s="25" t="n">
        <v>43</v>
      </c>
      <c r="C66" s="37" t="n">
        <f aca="false">MAX(0,C65-F65-G65)</f>
        <v>6130.23501715534</v>
      </c>
      <c r="D66" s="48" t="n">
        <f aca="false">Hmax_occ*(C66/Vmod_occ)^(1/m_occ)</f>
        <v>3.02553537926381</v>
      </c>
      <c r="E66" s="37" t="n">
        <f aca="false">Espejo_occ*(C66/Vmod_occ)^((m_occ-1)/m_occ)</f>
        <v>5014.75929564283</v>
      </c>
      <c r="F66" s="41" t="n">
        <f aca="false">(Evap_dia+Infil_dia)/1000*E66</f>
        <v>30.088555773857</v>
      </c>
      <c r="G66" s="41" t="n">
        <f aca="false">IF(C66&gt;0,Cons_dia,0)</f>
        <v>2</v>
      </c>
      <c r="H66" s="48" t="n">
        <f aca="false">Fondo_occ+D66</f>
        <v>387.425535379264</v>
      </c>
      <c r="I66" s="37" t="n">
        <f aca="false">MAX(0,I65-L65-M65)</f>
        <v>6527.74795882371</v>
      </c>
      <c r="J66" s="48" t="n">
        <f aca="false">Hmax_ori*(I66/Vmod_ori)^(1/m_ori)</f>
        <v>3.32557828335202</v>
      </c>
      <c r="K66" s="37" t="n">
        <f aca="false">Espejo_ori*(I66/Vmod_ori)^((m_ori-1)/m_ori)</f>
        <v>5034.81562836826</v>
      </c>
      <c r="L66" s="41" t="n">
        <f aca="false">(Evap_dia+Infil_dia)/1000*K66</f>
        <v>30.2088937702096</v>
      </c>
      <c r="M66" s="41" t="n">
        <f aca="false">IF(I66&gt;0,Cons_dia,0)</f>
        <v>2</v>
      </c>
      <c r="N66" s="48" t="n">
        <f aca="false">Fondo_ori+J66</f>
        <v>386.425578283352</v>
      </c>
      <c r="O66" s="33" t="n">
        <f aca="false">Cota_casa</f>
        <v>383</v>
      </c>
    </row>
    <row r="67" customFormat="false" ht="15" hidden="false" customHeight="false" outlineLevel="0" collapsed="false">
      <c r="B67" s="25" t="n">
        <v>44</v>
      </c>
      <c r="C67" s="37" t="n">
        <f aca="false">MAX(0,C66-F66-G66)</f>
        <v>6098.14646138148</v>
      </c>
      <c r="D67" s="48" t="n">
        <f aca="false">Hmax_occ*(C67/Vmod_occ)^(1/m_occ)</f>
        <v>3.01912654796892</v>
      </c>
      <c r="E67" s="37" t="n">
        <f aca="false">Espejo_occ*(C67/Vmod_occ)^((m_occ-1)/m_occ)</f>
        <v>4999.0989950629</v>
      </c>
      <c r="F67" s="41" t="n">
        <f aca="false">(Evap_dia+Infil_dia)/1000*E67</f>
        <v>29.9945939703774</v>
      </c>
      <c r="G67" s="41" t="n">
        <f aca="false">IF(C67&gt;0,Cons_dia,0)</f>
        <v>2</v>
      </c>
      <c r="H67" s="48" t="n">
        <f aca="false">Fondo_occ+D67</f>
        <v>387.419126547969</v>
      </c>
      <c r="I67" s="37" t="n">
        <f aca="false">MAX(0,I66-L66-M66)</f>
        <v>6495.5390650535</v>
      </c>
      <c r="J67" s="48" t="n">
        <f aca="false">Hmax_ori*(I67/Vmod_ori)^(1/m_ori)</f>
        <v>3.31917139430543</v>
      </c>
      <c r="K67" s="37" t="n">
        <f aca="false">Espejo_ori*(I67/Vmod_ori)^((m_ori-1)/m_ori)</f>
        <v>5019.64367686674</v>
      </c>
      <c r="L67" s="41" t="n">
        <f aca="false">(Evap_dia+Infil_dia)/1000*K67</f>
        <v>30.1178620612005</v>
      </c>
      <c r="M67" s="41" t="n">
        <f aca="false">IF(I67&gt;0,Cons_dia,0)</f>
        <v>2</v>
      </c>
      <c r="N67" s="48" t="n">
        <f aca="false">Fondo_ori+J67</f>
        <v>386.419171394305</v>
      </c>
      <c r="O67" s="33" t="n">
        <f aca="false">Cota_casa</f>
        <v>383</v>
      </c>
    </row>
    <row r="68" customFormat="false" ht="15" hidden="false" customHeight="false" outlineLevel="0" collapsed="false">
      <c r="B68" s="25" t="n">
        <v>45</v>
      </c>
      <c r="C68" s="37" t="n">
        <f aca="false">MAX(0,C67-F67-G67)</f>
        <v>6066.1518674111</v>
      </c>
      <c r="D68" s="48" t="n">
        <f aca="false">Hmax_occ*(C68/Vmod_occ)^(1/m_occ)</f>
        <v>3.01271644208447</v>
      </c>
      <c r="E68" s="37" t="n">
        <f aca="false">Espejo_occ*(C68/Vmod_occ)^((m_occ-1)/m_occ)</f>
        <v>4983.45136705086</v>
      </c>
      <c r="F68" s="41" t="n">
        <f aca="false">(Evap_dia+Infil_dia)/1000*E68</f>
        <v>29.9007082023052</v>
      </c>
      <c r="G68" s="41" t="n">
        <f aca="false">IF(C68&gt;0,Cons_dia,0)</f>
        <v>2</v>
      </c>
      <c r="H68" s="48" t="n">
        <f aca="false">Fondo_occ+D68</f>
        <v>387.412716442084</v>
      </c>
      <c r="I68" s="37" t="n">
        <f aca="false">MAX(0,I67-L67-M67)</f>
        <v>6463.4212029923</v>
      </c>
      <c r="J68" s="48" t="n">
        <f aca="false">Hmax_ori*(I68/Vmod_ori)^(1/m_ori)</f>
        <v>3.31276328229005</v>
      </c>
      <c r="K68" s="37" t="n">
        <f aca="false">Espejo_ori*(I68/Vmod_ori)^((m_ori-1)/m_ori)</f>
        <v>5004.4853715641</v>
      </c>
      <c r="L68" s="41" t="n">
        <f aca="false">(Evap_dia+Infil_dia)/1000*K68</f>
        <v>30.0269122293846</v>
      </c>
      <c r="M68" s="41" t="n">
        <f aca="false">IF(I68&gt;0,Cons_dia,0)</f>
        <v>2</v>
      </c>
      <c r="N68" s="48" t="n">
        <f aca="false">Fondo_ori+J68</f>
        <v>386.41276328229</v>
      </c>
      <c r="O68" s="33" t="n">
        <f aca="false">Cota_casa</f>
        <v>383</v>
      </c>
    </row>
    <row r="69" customFormat="false" ht="15" hidden="false" customHeight="false" outlineLevel="0" collapsed="false">
      <c r="B69" s="25" t="n">
        <v>46</v>
      </c>
      <c r="C69" s="37" t="n">
        <f aca="false">MAX(0,C68-F68-G68)</f>
        <v>6034.2511592088</v>
      </c>
      <c r="D69" s="48" t="n">
        <f aca="false">Hmax_occ*(C69/Vmod_occ)^(1/m_occ)</f>
        <v>3.00630505464466</v>
      </c>
      <c r="E69" s="37" t="n">
        <f aca="false">Espejo_occ*(C69/Vmod_occ)^((m_occ-1)/m_occ)</f>
        <v>4967.81642167948</v>
      </c>
      <c r="F69" s="41" t="n">
        <f aca="false">(Evap_dia+Infil_dia)/1000*E69</f>
        <v>29.8068985300769</v>
      </c>
      <c r="G69" s="41" t="n">
        <f aca="false">IF(C69&gt;0,Cons_dia,0)</f>
        <v>2</v>
      </c>
      <c r="H69" s="48" t="n">
        <f aca="false">Fondo_occ+D69</f>
        <v>387.406305054645</v>
      </c>
      <c r="I69" s="37" t="n">
        <f aca="false">MAX(0,I68-L68-M68)</f>
        <v>6431.39429076292</v>
      </c>
      <c r="J69" s="48" t="n">
        <f aca="false">Hmax_ori*(I69/Vmod_ori)^(1/m_ori)</f>
        <v>3.30635394100601</v>
      </c>
      <c r="K69" s="37" t="n">
        <f aca="false">Espejo_ori*(I69/Vmod_ori)^((m_ori-1)/m_ori)</f>
        <v>4989.3407209718</v>
      </c>
      <c r="L69" s="41" t="n">
        <f aca="false">(Evap_dia+Infil_dia)/1000*K69</f>
        <v>29.9360443258308</v>
      </c>
      <c r="M69" s="41" t="n">
        <f aca="false">IF(I69&gt;0,Cons_dia,0)</f>
        <v>2</v>
      </c>
      <c r="N69" s="48" t="n">
        <f aca="false">Fondo_ori+J69</f>
        <v>386.406353941006</v>
      </c>
      <c r="O69" s="33" t="n">
        <f aca="false">Cota_casa</f>
        <v>383</v>
      </c>
    </row>
    <row r="70" customFormat="false" ht="15" hidden="false" customHeight="false" outlineLevel="0" collapsed="false">
      <c r="B70" s="25" t="n">
        <v>47</v>
      </c>
      <c r="C70" s="37" t="n">
        <f aca="false">MAX(0,C69-F69-G69)</f>
        <v>6002.44426067872</v>
      </c>
      <c r="D70" s="48" t="n">
        <f aca="false">Hmax_occ*(C70/Vmod_occ)^(1/m_occ)</f>
        <v>2.99989237862846</v>
      </c>
      <c r="E70" s="37" t="n">
        <f aca="false">Espejo_occ*(C70/Vmod_occ)^((m_occ-1)/m_occ)</f>
        <v>4952.19416903614</v>
      </c>
      <c r="F70" s="41" t="n">
        <f aca="false">(Evap_dia+Infil_dia)/1000*E70</f>
        <v>29.7131650142168</v>
      </c>
      <c r="G70" s="41" t="n">
        <f aca="false">IF(C70&gt;0,Cons_dia,0)</f>
        <v>2</v>
      </c>
      <c r="H70" s="48" t="n">
        <f aca="false">Fondo_occ+D70</f>
        <v>387.399892378628</v>
      </c>
      <c r="I70" s="37" t="n">
        <f aca="false">MAX(0,I69-L69-M69)</f>
        <v>6399.45824643709</v>
      </c>
      <c r="J70" s="48" t="n">
        <f aca="false">Hmax_ori*(I70/Vmod_ori)^(1/m_ori)</f>
        <v>3.29994336410678</v>
      </c>
      <c r="K70" s="37" t="n">
        <f aca="false">Espejo_ori*(I70/Vmod_ori)^((m_ori-1)/m_ori)</f>
        <v>4974.20973361286</v>
      </c>
      <c r="L70" s="41" t="n">
        <f aca="false">(Evap_dia+Infil_dia)/1000*K70</f>
        <v>29.8452584016772</v>
      </c>
      <c r="M70" s="41" t="n">
        <f aca="false">IF(I70&gt;0,Cons_dia,0)</f>
        <v>2</v>
      </c>
      <c r="N70" s="48" t="n">
        <f aca="false">Fondo_ori+J70</f>
        <v>386.399943364107</v>
      </c>
      <c r="O70" s="33" t="n">
        <f aca="false">Cota_casa</f>
        <v>383</v>
      </c>
    </row>
    <row r="71" customFormat="false" ht="15" hidden="false" customHeight="false" outlineLevel="0" collapsed="false">
      <c r="B71" s="25" t="n">
        <v>48</v>
      </c>
      <c r="C71" s="37" t="n">
        <f aca="false">MAX(0,C70-F70-G70)</f>
        <v>5970.7310956645</v>
      </c>
      <c r="D71" s="48" t="n">
        <f aca="false">Hmax_occ*(C71/Vmod_occ)^(1/m_occ)</f>
        <v>2.99347840695904</v>
      </c>
      <c r="E71" s="37" t="n">
        <f aca="false">Espejo_occ*(C71/Vmod_occ)^((m_occ-1)/m_occ)</f>
        <v>4936.58461922283</v>
      </c>
      <c r="F71" s="41" t="n">
        <f aca="false">(Evap_dia+Infil_dia)/1000*E71</f>
        <v>29.619507715337</v>
      </c>
      <c r="G71" s="41" t="n">
        <f aca="false">IF(C71&gt;0,Cons_dia,0)</f>
        <v>2</v>
      </c>
      <c r="H71" s="48" t="n">
        <f aca="false">Fondo_occ+D71</f>
        <v>387.393478406959</v>
      </c>
      <c r="I71" s="37" t="n">
        <f aca="false">MAX(0,I70-L70-M70)</f>
        <v>6367.61298803541</v>
      </c>
      <c r="J71" s="48" t="n">
        <f aca="false">Hmax_ori*(I71/Vmod_ori)^(1/m_ori)</f>
        <v>3.29353154519871</v>
      </c>
      <c r="K71" s="37" t="n">
        <f aca="false">Espejo_ori*(I71/Vmod_ori)^((m_ori-1)/m_ori)</f>
        <v>4959.09241802189</v>
      </c>
      <c r="L71" s="41" t="n">
        <f aca="false">(Evap_dia+Infil_dia)/1000*K71</f>
        <v>29.7545545081313</v>
      </c>
      <c r="M71" s="41" t="n">
        <f aca="false">IF(I71&gt;0,Cons_dia,0)</f>
        <v>2</v>
      </c>
      <c r="N71" s="48" t="n">
        <f aca="false">Fondo_ori+J71</f>
        <v>386.393531545199</v>
      </c>
      <c r="O71" s="33" t="n">
        <f aca="false">Cota_casa</f>
        <v>383</v>
      </c>
    </row>
    <row r="72" customFormat="false" ht="15" hidden="false" customHeight="false" outlineLevel="0" collapsed="false">
      <c r="B72" s="25" t="n">
        <v>49</v>
      </c>
      <c r="C72" s="37" t="n">
        <f aca="false">MAX(0,C71-F71-G71)</f>
        <v>5939.11158794917</v>
      </c>
      <c r="D72" s="48" t="n">
        <f aca="false">Hmax_occ*(C72/Vmod_occ)^(1/m_occ)</f>
        <v>2.98706313250316</v>
      </c>
      <c r="E72" s="37" t="n">
        <f aca="false">Espejo_occ*(C72/Vmod_occ)^((m_occ-1)/m_occ)</f>
        <v>4920.98778235603</v>
      </c>
      <c r="F72" s="41" t="n">
        <f aca="false">(Evap_dia+Infil_dia)/1000*E72</f>
        <v>29.5259266941362</v>
      </c>
      <c r="G72" s="41" t="n">
        <f aca="false">IF(C72&gt;0,Cons_dia,0)</f>
        <v>2</v>
      </c>
      <c r="H72" s="48" t="n">
        <f aca="false">Fondo_occ+D72</f>
        <v>387.387063132503</v>
      </c>
      <c r="I72" s="37" t="n">
        <f aca="false">MAX(0,I71-L71-M71)</f>
        <v>6335.85843352728</v>
      </c>
      <c r="J72" s="48" t="n">
        <f aca="false">Hmax_ori*(I72/Vmod_ori)^(1/m_ori)</f>
        <v>3.28711847784056</v>
      </c>
      <c r="K72" s="37" t="n">
        <f aca="false">Espejo_ori*(I72/Vmod_ori)^((m_ori-1)/m_ori)</f>
        <v>4943.98878274498</v>
      </c>
      <c r="L72" s="41" t="n">
        <f aca="false">(Evap_dia+Infil_dia)/1000*K72</f>
        <v>29.6639326964699</v>
      </c>
      <c r="M72" s="41" t="n">
        <f aca="false">IF(I72&gt;0,Cons_dia,0)</f>
        <v>2</v>
      </c>
      <c r="N72" s="48" t="n">
        <f aca="false">Fondo_ori+J72</f>
        <v>386.387118477841</v>
      </c>
      <c r="O72" s="33" t="n">
        <f aca="false">Cota_casa</f>
        <v>383</v>
      </c>
    </row>
    <row r="73" customFormat="false" ht="15" hidden="false" customHeight="false" outlineLevel="0" collapsed="false">
      <c r="B73" s="25" t="n">
        <v>50</v>
      </c>
      <c r="C73" s="37" t="n">
        <f aca="false">MAX(0,C72-F72-G72)</f>
        <v>5907.58566125503</v>
      </c>
      <c r="D73" s="48" t="n">
        <f aca="false">Hmax_occ*(C73/Vmod_occ)^(1/m_occ)</f>
        <v>2.98064654807062</v>
      </c>
      <c r="E73" s="37" t="n">
        <f aca="false">Espejo_occ*(C73/Vmod_occ)^((m_occ-1)/m_occ)</f>
        <v>4905.40366856666</v>
      </c>
      <c r="F73" s="41" t="n">
        <f aca="false">(Evap_dia+Infil_dia)/1000*E73</f>
        <v>29.4324220114</v>
      </c>
      <c r="G73" s="41" t="n">
        <f aca="false">IF(C73&gt;0,Cons_dia,0)</f>
        <v>2</v>
      </c>
      <c r="H73" s="48" t="n">
        <f aca="false">Fondo_occ+D73</f>
        <v>387.380646548071</v>
      </c>
      <c r="I73" s="37" t="n">
        <f aca="false">MAX(0,I72-L72-M72)</f>
        <v>6304.19450083081</v>
      </c>
      <c r="J73" s="48" t="n">
        <f aca="false">Hmax_ori*(I73/Vmod_ori)^(1/m_ori)</f>
        <v>3.28070415554303</v>
      </c>
      <c r="K73" s="37" t="n">
        <f aca="false">Espejo_ori*(I73/Vmod_ori)^((m_ori-1)/m_ori)</f>
        <v>4928.89883633975</v>
      </c>
      <c r="L73" s="41" t="n">
        <f aca="false">(Evap_dia+Infil_dia)/1000*K73</f>
        <v>29.5733930180385</v>
      </c>
      <c r="M73" s="41" t="n">
        <f aca="false">IF(I73&gt;0,Cons_dia,0)</f>
        <v>2</v>
      </c>
      <c r="N73" s="48" t="n">
        <f aca="false">Fondo_ori+J73</f>
        <v>386.380704155543</v>
      </c>
      <c r="O73" s="33" t="n">
        <f aca="false">Cota_casa</f>
        <v>383</v>
      </c>
    </row>
    <row r="74" customFormat="false" ht="15" hidden="false" customHeight="false" outlineLevel="0" collapsed="false">
      <c r="B74" s="25" t="n">
        <v>51</v>
      </c>
      <c r="C74" s="37" t="n">
        <f aca="false">MAX(0,C73-F73-G73)</f>
        <v>5876.15323924363</v>
      </c>
      <c r="D74" s="48" t="n">
        <f aca="false">Hmax_occ*(C74/Vmod_occ)^(1/m_occ)</f>
        <v>2.97422864641363</v>
      </c>
      <c r="E74" s="37" t="n">
        <f aca="false">Espejo_occ*(C74/Vmod_occ)^((m_occ-1)/m_occ)</f>
        <v>4889.83228800003</v>
      </c>
      <c r="F74" s="41" t="n">
        <f aca="false">(Evap_dia+Infil_dia)/1000*E74</f>
        <v>29.3389937280002</v>
      </c>
      <c r="G74" s="41" t="n">
        <f aca="false">IF(C74&gt;0,Cons_dia,0)</f>
        <v>2</v>
      </c>
      <c r="H74" s="48" t="n">
        <f aca="false">Fondo_occ+D74</f>
        <v>387.374228646414</v>
      </c>
      <c r="I74" s="37" t="n">
        <f aca="false">MAX(0,I73-L73-M73)</f>
        <v>6272.62110781277</v>
      </c>
      <c r="J74" s="48" t="n">
        <f aca="false">Hmax_ori*(I74/Vmod_ori)^(1/m_ori)</f>
        <v>3.27428857176834</v>
      </c>
      <c r="K74" s="37" t="n">
        <f aca="false">Espejo_ori*(I74/Vmod_ori)^((m_ori-1)/m_ori)</f>
        <v>4913.8225873752</v>
      </c>
      <c r="L74" s="41" t="n">
        <f aca="false">(Evap_dia+Infil_dia)/1000*K74</f>
        <v>29.4829355242512</v>
      </c>
      <c r="M74" s="41" t="n">
        <f aca="false">IF(I74&gt;0,Cons_dia,0)</f>
        <v>2</v>
      </c>
      <c r="N74" s="48" t="n">
        <f aca="false">Fondo_ori+J74</f>
        <v>386.374288571768</v>
      </c>
      <c r="O74" s="33" t="n">
        <f aca="false">Cota_casa</f>
        <v>383</v>
      </c>
    </row>
    <row r="75" customFormat="false" ht="15" hidden="false" customHeight="false" outlineLevel="0" collapsed="false">
      <c r="B75" s="25" t="n">
        <v>52</v>
      </c>
      <c r="C75" s="37" t="n">
        <f aca="false">MAX(0,C74-F74-G74)</f>
        <v>5844.81424551563</v>
      </c>
      <c r="D75" s="48" t="n">
        <f aca="false">Hmax_occ*(C75/Vmod_occ)^(1/m_occ)</f>
        <v>2.96780942022619</v>
      </c>
      <c r="E75" s="37" t="n">
        <f aca="false">Espejo_occ*(C75/Vmod_occ)^((m_occ-1)/m_occ)</f>
        <v>4874.27365081571</v>
      </c>
      <c r="F75" s="41" t="n">
        <f aca="false">(Evap_dia+Infil_dia)/1000*E75</f>
        <v>29.2456419048943</v>
      </c>
      <c r="G75" s="41" t="n">
        <f aca="false">IF(C75&gt;0,Cons_dia,0)</f>
        <v>2</v>
      </c>
      <c r="H75" s="48" t="n">
        <f aca="false">Fondo_occ+D75</f>
        <v>387.367809420226</v>
      </c>
      <c r="I75" s="37" t="n">
        <f aca="false">MAX(0,I74-L74-M74)</f>
        <v>6241.13817228852</v>
      </c>
      <c r="J75" s="48" t="n">
        <f aca="false">Hmax_ori*(I75/Vmod_ori)^(1/m_ori)</f>
        <v>3.26787171992967</v>
      </c>
      <c r="K75" s="37" t="n">
        <f aca="false">Espejo_ori*(I75/Vmod_ori)^((m_ori-1)/m_ori)</f>
        <v>4898.76004443179</v>
      </c>
      <c r="L75" s="41" t="n">
        <f aca="false">(Evap_dia+Infil_dia)/1000*K75</f>
        <v>29.3925602665907</v>
      </c>
      <c r="M75" s="41" t="n">
        <f aca="false">IF(I75&gt;0,Cons_dia,0)</f>
        <v>2</v>
      </c>
      <c r="N75" s="48" t="n">
        <f aca="false">Fondo_ori+J75</f>
        <v>386.36787171993</v>
      </c>
      <c r="O75" s="33" t="n">
        <f aca="false">Cota_casa</f>
        <v>383</v>
      </c>
    </row>
    <row r="76" customFormat="false" ht="15" hidden="false" customHeight="false" outlineLevel="0" collapsed="false">
      <c r="B76" s="25" t="n">
        <v>53</v>
      </c>
      <c r="C76" s="37" t="n">
        <f aca="false">MAX(0,C75-F75-G75)</f>
        <v>5813.56860361073</v>
      </c>
      <c r="D76" s="48" t="n">
        <f aca="false">Hmax_occ*(C76/Vmod_occ)^(1/m_occ)</f>
        <v>2.9613888621435</v>
      </c>
      <c r="E76" s="37" t="n">
        <f aca="false">Espejo_occ*(C76/Vmod_occ)^((m_occ-1)/m_occ)</f>
        <v>4858.72776718756</v>
      </c>
      <c r="F76" s="41" t="n">
        <f aca="false">(Evap_dia+Infil_dia)/1000*E76</f>
        <v>29.1523666031253</v>
      </c>
      <c r="G76" s="41" t="n">
        <f aca="false">IF(C76&gt;0,Cons_dia,0)</f>
        <v>2</v>
      </c>
      <c r="H76" s="48" t="n">
        <f aca="false">Fondo_occ+D76</f>
        <v>387.361388862144</v>
      </c>
      <c r="I76" s="37" t="n">
        <f aca="false">MAX(0,I75-L75-M75)</f>
        <v>6209.74561202193</v>
      </c>
      <c r="J76" s="48" t="n">
        <f aca="false">Hmax_ori*(I76/Vmod_ori)^(1/m_ori)</f>
        <v>3.26145359339073</v>
      </c>
      <c r="K76" s="37" t="n">
        <f aca="false">Espejo_ori*(I76/Vmod_ori)^((m_ori-1)/m_ori)</f>
        <v>4883.71121610132</v>
      </c>
      <c r="L76" s="41" t="n">
        <f aca="false">(Evap_dia+Infil_dia)/1000*K76</f>
        <v>29.3022672966079</v>
      </c>
      <c r="M76" s="41" t="n">
        <f aca="false">IF(I76&gt;0,Cons_dia,0)</f>
        <v>2</v>
      </c>
      <c r="N76" s="48" t="n">
        <f aca="false">Fondo_ori+J76</f>
        <v>386.361453593391</v>
      </c>
      <c r="O76" s="33" t="n">
        <f aca="false">Cota_casa</f>
        <v>383</v>
      </c>
    </row>
    <row r="77" customFormat="false" ht="15" hidden="false" customHeight="false" outlineLevel="0" collapsed="false">
      <c r="B77" s="25" t="n">
        <v>54</v>
      </c>
      <c r="C77" s="37" t="n">
        <f aca="false">MAX(0,C76-F76-G76)</f>
        <v>5782.41623700761</v>
      </c>
      <c r="D77" s="48" t="n">
        <f aca="false">Hmax_occ*(C77/Vmod_occ)^(1/m_occ)</f>
        <v>2.9549669647413</v>
      </c>
      <c r="E77" s="37" t="n">
        <f aca="false">Espejo_occ*(C77/Vmod_occ)^((m_occ-1)/m_occ)</f>
        <v>4843.19464730353</v>
      </c>
      <c r="F77" s="41" t="n">
        <f aca="false">(Evap_dia+Infil_dia)/1000*E77</f>
        <v>29.0591678838212</v>
      </c>
      <c r="G77" s="41" t="n">
        <f aca="false">IF(C77&gt;0,Cons_dia,0)</f>
        <v>2</v>
      </c>
      <c r="H77" s="48" t="n">
        <f aca="false">Fondo_occ+D77</f>
        <v>387.354966964741</v>
      </c>
      <c r="I77" s="37" t="n">
        <f aca="false">MAX(0,I76-L76-M76)</f>
        <v>6178.44334472532</v>
      </c>
      <c r="J77" s="48" t="n">
        <f aca="false">Hmax_ori*(I77/Vmod_ori)^(1/m_ori)</f>
        <v>3.25503418546527</v>
      </c>
      <c r="K77" s="37" t="n">
        <f aca="false">Espejo_ori*(I77/Vmod_ori)^((m_ori-1)/m_ori)</f>
        <v>4868.6761109869</v>
      </c>
      <c r="L77" s="41" t="n">
        <f aca="false">(Evap_dia+Infil_dia)/1000*K77</f>
        <v>29.2120566659214</v>
      </c>
      <c r="M77" s="41" t="n">
        <f aca="false">IF(I77&gt;0,Cons_dia,0)</f>
        <v>2</v>
      </c>
      <c r="N77" s="48" t="n">
        <f aca="false">Fondo_ori+J77</f>
        <v>386.355034185465</v>
      </c>
      <c r="O77" s="33" t="n">
        <f aca="false">Cota_casa</f>
        <v>383</v>
      </c>
    </row>
    <row r="78" customFormat="false" ht="15" hidden="false" customHeight="false" outlineLevel="0" collapsed="false">
      <c r="B78" s="25" t="n">
        <v>55</v>
      </c>
      <c r="C78" s="37" t="n">
        <f aca="false">MAX(0,C77-F77-G77)</f>
        <v>5751.35706912379</v>
      </c>
      <c r="D78" s="48" t="n">
        <f aca="false">Hmax_occ*(C78/Vmod_occ)^(1/m_occ)</f>
        <v>2.94854372053529</v>
      </c>
      <c r="E78" s="37" t="n">
        <f aca="false">Espejo_occ*(C78/Vmod_occ)^((m_occ-1)/m_occ)</f>
        <v>4827.67430136569</v>
      </c>
      <c r="F78" s="41" t="n">
        <f aca="false">(Evap_dia+Infil_dia)/1000*E78</f>
        <v>28.9660458081941</v>
      </c>
      <c r="G78" s="41" t="n">
        <f aca="false">IF(C78&gt;0,Cons_dia,0)</f>
        <v>2</v>
      </c>
      <c r="H78" s="48" t="n">
        <f aca="false">Fondo_occ+D78</f>
        <v>387.348543720535</v>
      </c>
      <c r="I78" s="37" t="n">
        <f aca="false">MAX(0,I77-L77-M77)</f>
        <v>6147.2312880594</v>
      </c>
      <c r="J78" s="48" t="n">
        <f aca="false">Hmax_ori*(I78/Vmod_ori)^(1/m_ori)</f>
        <v>3.24861348941655</v>
      </c>
      <c r="K78" s="37" t="n">
        <f aca="false">Espejo_ori*(I78/Vmod_ori)^((m_ori-1)/m_ori)</f>
        <v>4853.65473770295</v>
      </c>
      <c r="L78" s="41" t="n">
        <f aca="false">(Evap_dia+Infil_dia)/1000*K78</f>
        <v>29.1219284262177</v>
      </c>
      <c r="M78" s="41" t="n">
        <f aca="false">IF(I78&gt;0,Cons_dia,0)</f>
        <v>2</v>
      </c>
      <c r="N78" s="48" t="n">
        <f aca="false">Fondo_ori+J78</f>
        <v>386.348613489417</v>
      </c>
      <c r="O78" s="33" t="n">
        <f aca="false">Cota_casa</f>
        <v>383</v>
      </c>
    </row>
    <row r="79" customFormat="false" ht="15" hidden="false" customHeight="false" outlineLevel="0" collapsed="false">
      <c r="B79" s="25" t="n">
        <v>56</v>
      </c>
      <c r="C79" s="37" t="n">
        <f aca="false">MAX(0,C78-F78-G78)</f>
        <v>5720.39102331559</v>
      </c>
      <c r="D79" s="48" t="n">
        <f aca="false">Hmax_occ*(C79/Vmod_occ)^(1/m_occ)</f>
        <v>2.94211912198041</v>
      </c>
      <c r="E79" s="37" t="n">
        <f aca="false">Espejo_occ*(C79/Vmod_occ)^((m_occ-1)/m_occ)</f>
        <v>4812.16673959008</v>
      </c>
      <c r="F79" s="41" t="n">
        <f aca="false">(Evap_dia+Infil_dia)/1000*E79</f>
        <v>28.8730004375405</v>
      </c>
      <c r="G79" s="41" t="n">
        <f aca="false">IF(C79&gt;0,Cons_dia,0)</f>
        <v>2</v>
      </c>
      <c r="H79" s="48" t="n">
        <f aca="false">Fondo_occ+D79</f>
        <v>387.34211912198</v>
      </c>
      <c r="I79" s="37" t="n">
        <f aca="false">MAX(0,I78-L78-M78)</f>
        <v>6116.10935963318</v>
      </c>
      <c r="J79" s="48" t="n">
        <f aca="false">Hmax_ori*(I79/Vmod_ori)^(1/m_ori)</f>
        <v>3.24219149845689</v>
      </c>
      <c r="K79" s="37" t="n">
        <f aca="false">Espejo_ori*(I79/Vmod_ori)^((m_ori-1)/m_ori)</f>
        <v>4838.6471048751</v>
      </c>
      <c r="L79" s="41" t="n">
        <f aca="false">(Evap_dia+Infil_dia)/1000*K79</f>
        <v>29.0318826292506</v>
      </c>
      <c r="M79" s="41" t="n">
        <f aca="false">IF(I79&gt;0,Cons_dia,0)</f>
        <v>2</v>
      </c>
      <c r="N79" s="48" t="n">
        <f aca="false">Fondo_ori+J79</f>
        <v>386.342191498457</v>
      </c>
      <c r="O79" s="33" t="n">
        <f aca="false">Cota_casa</f>
        <v>383</v>
      </c>
    </row>
    <row r="80" customFormat="false" ht="15" hidden="false" customHeight="false" outlineLevel="0" collapsed="false">
      <c r="B80" s="25" t="n">
        <v>57</v>
      </c>
      <c r="C80" s="37" t="n">
        <f aca="false">MAX(0,C79-F79-G79)</f>
        <v>5689.51802287805</v>
      </c>
      <c r="D80" s="48" t="n">
        <f aca="false">Hmax_occ*(C80/Vmod_occ)^(1/m_occ)</f>
        <v>2.93569316147027</v>
      </c>
      <c r="E80" s="37" t="n">
        <f aca="false">Espejo_occ*(C80/Vmod_occ)^((m_occ-1)/m_occ)</f>
        <v>4796.67197220666</v>
      </c>
      <c r="F80" s="41" t="n">
        <f aca="false">(Evap_dia+Infil_dia)/1000*E80</f>
        <v>28.7800318332399</v>
      </c>
      <c r="G80" s="41" t="n">
        <f aca="false">IF(C80&gt;0,Cons_dia,0)</f>
        <v>2</v>
      </c>
      <c r="H80" s="48" t="n">
        <f aca="false">Fondo_occ+D80</f>
        <v>387.33569316147</v>
      </c>
      <c r="I80" s="37" t="n">
        <f aca="false">MAX(0,I79-L79-M79)</f>
        <v>6085.07747700393</v>
      </c>
      <c r="J80" s="48" t="n">
        <f aca="false">Hmax_ori*(I80/Vmod_ori)^(1/m_ori)</f>
        <v>3.23576820574711</v>
      </c>
      <c r="K80" s="37" t="n">
        <f aca="false">Espejo_ori*(I80/Vmod_ori)^((m_ori-1)/m_ori)</f>
        <v>4823.6532211402</v>
      </c>
      <c r="L80" s="41" t="n">
        <f aca="false">(Evap_dia+Infil_dia)/1000*K80</f>
        <v>28.9419193268412</v>
      </c>
      <c r="M80" s="41" t="n">
        <f aca="false">IF(I80&gt;0,Cons_dia,0)</f>
        <v>2</v>
      </c>
      <c r="N80" s="48" t="n">
        <f aca="false">Fondo_ori+J80</f>
        <v>386.335768205747</v>
      </c>
      <c r="O80" s="33" t="n">
        <f aca="false">Cota_casa</f>
        <v>383</v>
      </c>
    </row>
    <row r="81" customFormat="false" ht="15" hidden="false" customHeight="false" outlineLevel="0" collapsed="false">
      <c r="B81" s="25" t="n">
        <v>58</v>
      </c>
      <c r="C81" s="37" t="n">
        <f aca="false">MAX(0,C80-F80-G80)</f>
        <v>5658.73799104481</v>
      </c>
      <c r="D81" s="48" t="n">
        <f aca="false">Hmax_occ*(C81/Vmod_occ)^(1/m_occ)</f>
        <v>2.92926583133642</v>
      </c>
      <c r="E81" s="37" t="n">
        <f aca="false">Espejo_occ*(C81/Vmod_occ)^((m_occ-1)/m_occ)</f>
        <v>4781.19000945921</v>
      </c>
      <c r="F81" s="41" t="n">
        <f aca="false">(Evap_dia+Infil_dia)/1000*E81</f>
        <v>28.6871400567553</v>
      </c>
      <c r="G81" s="41" t="n">
        <f aca="false">IF(C81&gt;0,Cons_dia,0)</f>
        <v>2</v>
      </c>
      <c r="H81" s="48" t="n">
        <f aca="false">Fondo_occ+D81</f>
        <v>387.329265831336</v>
      </c>
      <c r="I81" s="37" t="n">
        <f aca="false">MAX(0,I80-L80-M80)</f>
        <v>6054.13555767709</v>
      </c>
      <c r="J81" s="48" t="n">
        <f aca="false">Hmax_ori*(I81/Vmod_ori)^(1/m_ori)</f>
        <v>3.22934360439604</v>
      </c>
      <c r="K81" s="37" t="n">
        <f aca="false">Espejo_ori*(I81/Vmod_ori)^((m_ori-1)/m_ori)</f>
        <v>4808.67309514622</v>
      </c>
      <c r="L81" s="41" t="n">
        <f aca="false">(Evap_dia+Infil_dia)/1000*K81</f>
        <v>28.8520385708773</v>
      </c>
      <c r="M81" s="41" t="n">
        <f aca="false">IF(I81&gt;0,Cons_dia,0)</f>
        <v>2</v>
      </c>
      <c r="N81" s="48" t="n">
        <f aca="false">Fondo_ori+J81</f>
        <v>386.329343604396</v>
      </c>
      <c r="O81" s="33" t="n">
        <f aca="false">Cota_casa</f>
        <v>383</v>
      </c>
    </row>
    <row r="82" customFormat="false" ht="15" hidden="false" customHeight="false" outlineLevel="0" collapsed="false">
      <c r="B82" s="25" t="n">
        <v>59</v>
      </c>
      <c r="C82" s="37" t="n">
        <f aca="false">MAX(0,C81-F81-G81)</f>
        <v>5628.05085098806</v>
      </c>
      <c r="D82" s="48" t="n">
        <f aca="false">Hmax_occ*(C82/Vmod_occ)^(1/m_occ)</f>
        <v>2.92283712384773</v>
      </c>
      <c r="E82" s="37" t="n">
        <f aca="false">Espejo_occ*(C82/Vmod_occ)^((m_occ-1)/m_occ)</f>
        <v>4765.72086160526</v>
      </c>
      <c r="F82" s="41" t="n">
        <f aca="false">(Evap_dia+Infil_dia)/1000*E82</f>
        <v>28.5943251696315</v>
      </c>
      <c r="G82" s="41" t="n">
        <f aca="false">IF(C82&gt;0,Cons_dia,0)</f>
        <v>2</v>
      </c>
      <c r="H82" s="48" t="n">
        <f aca="false">Fondo_occ+D82</f>
        <v>387.322837123848</v>
      </c>
      <c r="I82" s="37" t="n">
        <f aca="false">MAX(0,I81-L81-M81)</f>
        <v>6023.28351910621</v>
      </c>
      <c r="J82" s="48" t="n">
        <f aca="false">Hmax_ori*(I82/Vmod_ori)^(1/m_ori)</f>
        <v>3.22291768746</v>
      </c>
      <c r="K82" s="37" t="n">
        <f aca="false">Espejo_ori*(I82/Vmod_ori)^((m_ori-1)/m_ori)</f>
        <v>4793.70673555223</v>
      </c>
      <c r="L82" s="41" t="n">
        <f aca="false">(Evap_dia+Infil_dia)/1000*K82</f>
        <v>28.7622404133134</v>
      </c>
      <c r="M82" s="41" t="n">
        <f aca="false">IF(I82&gt;0,Cons_dia,0)</f>
        <v>2</v>
      </c>
      <c r="N82" s="48" t="n">
        <f aca="false">Fondo_ori+J82</f>
        <v>386.32291768746</v>
      </c>
      <c r="O82" s="33" t="n">
        <f aca="false">Cota_casa</f>
        <v>383</v>
      </c>
    </row>
    <row r="83" customFormat="false" ht="15" hidden="false" customHeight="false" outlineLevel="0" collapsed="false">
      <c r="B83" s="25" t="n">
        <v>60</v>
      </c>
      <c r="C83" s="37" t="n">
        <f aca="false">MAX(0,C82-F82-G82)</f>
        <v>5597.45652581843</v>
      </c>
      <c r="D83" s="48" t="n">
        <f aca="false">Hmax_occ*(C83/Vmod_occ)^(1/m_occ)</f>
        <v>2.91640703120969</v>
      </c>
      <c r="E83" s="37" t="n">
        <f aca="false">Espejo_occ*(C83/Vmod_occ)^((m_occ-1)/m_occ)</f>
        <v>4750.26453891597</v>
      </c>
      <c r="F83" s="41" t="n">
        <f aca="false">(Evap_dia+Infil_dia)/1000*E83</f>
        <v>28.5015872334958</v>
      </c>
      <c r="G83" s="41" t="n">
        <f aca="false">IF(C83&gt;0,Cons_dia,0)</f>
        <v>2</v>
      </c>
      <c r="H83" s="48" t="n">
        <f aca="false">Fondo_occ+D83</f>
        <v>387.31640703121</v>
      </c>
      <c r="I83" s="37" t="n">
        <f aca="false">MAX(0,I82-L82-M82)</f>
        <v>5992.5212786929</v>
      </c>
      <c r="J83" s="48" t="n">
        <f aca="false">Hmax_ori*(I83/Vmod_ori)^(1/m_ori)</f>
        <v>3.21649044794229</v>
      </c>
      <c r="K83" s="37" t="n">
        <f aca="false">Espejo_ori*(I83/Vmod_ori)^((m_ori-1)/m_ori)</f>
        <v>4778.75415102836</v>
      </c>
      <c r="L83" s="41" t="n">
        <f aca="false">(Evap_dia+Infil_dia)/1000*K83</f>
        <v>28.6725249061701</v>
      </c>
      <c r="M83" s="41" t="n">
        <f aca="false">IF(I83&gt;0,Cons_dia,0)</f>
        <v>2</v>
      </c>
      <c r="N83" s="48" t="n">
        <f aca="false">Fondo_ori+J83</f>
        <v>386.316490447942</v>
      </c>
      <c r="O83" s="33" t="n">
        <f aca="false">Cota_casa</f>
        <v>383</v>
      </c>
    </row>
    <row r="84" customFormat="false" ht="15" hidden="false" customHeight="false" outlineLevel="0" collapsed="false">
      <c r="B84" s="25" t="n">
        <v>61</v>
      </c>
      <c r="C84" s="37" t="n">
        <f aca="false">MAX(0,C83-F83-G83)</f>
        <v>5566.95493858493</v>
      </c>
      <c r="D84" s="48" t="n">
        <f aca="false">Hmax_occ*(C84/Vmod_occ)^(1/m_occ)</f>
        <v>2.90997554556373</v>
      </c>
      <c r="E84" s="37" t="n">
        <f aca="false">Espejo_occ*(C84/Vmod_occ)^((m_occ-1)/m_occ)</f>
        <v>4734.82105167608</v>
      </c>
      <c r="F84" s="41" t="n">
        <f aca="false">(Evap_dia+Infil_dia)/1000*E84</f>
        <v>28.4089263100565</v>
      </c>
      <c r="G84" s="41" t="n">
        <f aca="false">IF(C84&gt;0,Cons_dia,0)</f>
        <v>2</v>
      </c>
      <c r="H84" s="48" t="n">
        <f aca="false">Fondo_occ+D84</f>
        <v>387.309975545564</v>
      </c>
      <c r="I84" s="37" t="n">
        <f aca="false">MAX(0,I83-L83-M83)</f>
        <v>5961.84875378673</v>
      </c>
      <c r="J84" s="48" t="n">
        <f aca="false">Hmax_ori*(I84/Vmod_ori)^(1/m_ori)</f>
        <v>3.21006187879261</v>
      </c>
      <c r="K84" s="37" t="n">
        <f aca="false">Espejo_ori*(I84/Vmod_ori)^((m_ori-1)/m_ori)</f>
        <v>4763.81535025572</v>
      </c>
      <c r="L84" s="41" t="n">
        <f aca="false">(Evap_dia+Infil_dia)/1000*K84</f>
        <v>28.5828921015343</v>
      </c>
      <c r="M84" s="41" t="n">
        <f aca="false">IF(I84&gt;0,Cons_dia,0)</f>
        <v>2</v>
      </c>
      <c r="N84" s="48" t="n">
        <f aca="false">Fondo_ori+J84</f>
        <v>386.310061878793</v>
      </c>
      <c r="O84" s="33" t="n">
        <f aca="false">Cota_casa</f>
        <v>383</v>
      </c>
    </row>
    <row r="85" customFormat="false" ht="15" hidden="false" customHeight="false" outlineLevel="0" collapsed="false">
      <c r="B85" s="25" t="n">
        <v>62</v>
      </c>
      <c r="C85" s="37" t="n">
        <f aca="false">MAX(0,C84-F84-G84)</f>
        <v>5536.54601227487</v>
      </c>
      <c r="D85" s="48" t="n">
        <f aca="false">Hmax_occ*(C85/Vmod_occ)^(1/m_occ)</f>
        <v>2.9035426589865</v>
      </c>
      <c r="E85" s="37" t="n">
        <f aca="false">Espejo_occ*(C85/Vmod_occ)^((m_occ-1)/m_occ)</f>
        <v>4719.39041018376</v>
      </c>
      <c r="F85" s="41" t="n">
        <f aca="false">(Evap_dia+Infil_dia)/1000*E85</f>
        <v>28.3163424611025</v>
      </c>
      <c r="G85" s="41" t="n">
        <f aca="false">IF(C85&gt;0,Cons_dia,0)</f>
        <v>2</v>
      </c>
      <c r="H85" s="48" t="n">
        <f aca="false">Fondo_occ+D85</f>
        <v>387.303542658987</v>
      </c>
      <c r="I85" s="37" t="n">
        <f aca="false">MAX(0,I84-L84-M84)</f>
        <v>5931.2658616852</v>
      </c>
      <c r="J85" s="48" t="n">
        <f aca="false">Hmax_ori*(I85/Vmod_ori)^(1/m_ori)</f>
        <v>3.20363197290656</v>
      </c>
      <c r="K85" s="37" t="n">
        <f aca="false">Espejo_ori*(I85/Vmod_ori)^((m_ori-1)/m_ori)</f>
        <v>4748.89034192638</v>
      </c>
      <c r="L85" s="41" t="n">
        <f aca="false">(Evap_dia+Infil_dia)/1000*K85</f>
        <v>28.4933420515583</v>
      </c>
      <c r="M85" s="41" t="n">
        <f aca="false">IF(I85&gt;0,Cons_dia,0)</f>
        <v>2</v>
      </c>
      <c r="N85" s="48" t="n">
        <f aca="false">Fondo_ori+J85</f>
        <v>386.303631972907</v>
      </c>
      <c r="O85" s="33" t="n">
        <f aca="false">Cota_casa</f>
        <v>383</v>
      </c>
    </row>
    <row r="86" customFormat="false" ht="15" hidden="false" customHeight="false" outlineLevel="0" collapsed="false">
      <c r="B86" s="25" t="n">
        <v>63</v>
      </c>
      <c r="C86" s="37" t="n">
        <f aca="false">MAX(0,C85-F85-G85)</f>
        <v>5506.22966981377</v>
      </c>
      <c r="D86" s="48" t="n">
        <f aca="false">Hmax_occ*(C86/Vmod_occ)^(1/m_occ)</f>
        <v>2.8971083634892</v>
      </c>
      <c r="E86" s="37" t="n">
        <f aca="false">Espejo_occ*(C86/Vmod_occ)^((m_occ-1)/m_occ)</f>
        <v>4703.97262475056</v>
      </c>
      <c r="F86" s="41" t="n">
        <f aca="false">(Evap_dia+Infil_dia)/1000*E86</f>
        <v>28.2238357485034</v>
      </c>
      <c r="G86" s="41" t="n">
        <f aca="false">IF(C86&gt;0,Cons_dia,0)</f>
        <v>2</v>
      </c>
      <c r="H86" s="48" t="n">
        <f aca="false">Fondo_occ+D86</f>
        <v>387.297108363489</v>
      </c>
      <c r="I86" s="37" t="n">
        <f aca="false">MAX(0,I85-L85-M85)</f>
        <v>5900.77251963364</v>
      </c>
      <c r="J86" s="48" t="n">
        <f aca="false">Hmax_ori*(I86/Vmod_ori)^(1/m_ori)</f>
        <v>3.19720072312508</v>
      </c>
      <c r="K86" s="37" t="n">
        <f aca="false">Espejo_ori*(I86/Vmod_ori)^((m_ori-1)/m_ori)</f>
        <v>4733.97913474329</v>
      </c>
      <c r="L86" s="41" t="n">
        <f aca="false">(Evap_dia+Infil_dia)/1000*K86</f>
        <v>28.4038748084597</v>
      </c>
      <c r="M86" s="41" t="n">
        <f aca="false">IF(I86&gt;0,Cons_dia,0)</f>
        <v>2</v>
      </c>
      <c r="N86" s="48" t="n">
        <f aca="false">Fondo_ori+J86</f>
        <v>386.297200723125</v>
      </c>
      <c r="O86" s="33" t="n">
        <f aca="false">Cota_casa</f>
        <v>383</v>
      </c>
    </row>
    <row r="87" customFormat="false" ht="15" hidden="false" customHeight="false" outlineLevel="0" collapsed="false">
      <c r="B87" s="25" t="n">
        <v>64</v>
      </c>
      <c r="C87" s="37" t="n">
        <f aca="false">MAX(0,C86-F86-G86)</f>
        <v>5476.00583406527</v>
      </c>
      <c r="D87" s="48" t="n">
        <f aca="false">Hmax_occ*(C87/Vmod_occ)^(1/m_occ)</f>
        <v>2.89067265101685</v>
      </c>
      <c r="E87" s="37" t="n">
        <f aca="false">Espejo_occ*(C87/Vmod_occ)^((m_occ-1)/m_occ)</f>
        <v>4688.56770570129</v>
      </c>
      <c r="F87" s="41" t="n">
        <f aca="false">(Evap_dia+Infil_dia)/1000*E87</f>
        <v>28.1314062342078</v>
      </c>
      <c r="G87" s="41" t="n">
        <f aca="false">IF(C87&gt;0,Cons_dia,0)</f>
        <v>2</v>
      </c>
      <c r="H87" s="48" t="n">
        <f aca="false">Fondo_occ+D87</f>
        <v>387.290672651017</v>
      </c>
      <c r="I87" s="37" t="n">
        <f aca="false">MAX(0,I86-L86-M86)</f>
        <v>5870.36864482518</v>
      </c>
      <c r="J87" s="48" t="n">
        <f aca="false">Hmax_ori*(I87/Vmod_ori)^(1/m_ori)</f>
        <v>3.19076812223388</v>
      </c>
      <c r="K87" s="37" t="n">
        <f aca="false">Espejo_ori*(I87/Vmod_ori)^((m_ori-1)/m_ori)</f>
        <v>4719.08173742024</v>
      </c>
      <c r="L87" s="41" t="n">
        <f aca="false">(Evap_dia+Infil_dia)/1000*K87</f>
        <v>28.3144904245214</v>
      </c>
      <c r="M87" s="41" t="n">
        <f aca="false">IF(I87&gt;0,Cons_dia,0)</f>
        <v>2</v>
      </c>
      <c r="N87" s="48" t="n">
        <f aca="false">Fondo_ori+J87</f>
        <v>386.290768122234</v>
      </c>
      <c r="O87" s="33" t="n">
        <f aca="false">Cota_casa</f>
        <v>383</v>
      </c>
    </row>
    <row r="88" customFormat="false" ht="15" hidden="false" customHeight="false" outlineLevel="0" collapsed="false">
      <c r="B88" s="25" t="n">
        <v>65</v>
      </c>
      <c r="C88" s="37" t="n">
        <f aca="false">MAX(0,C87-F87-G87)</f>
        <v>5445.87442783106</v>
      </c>
      <c r="D88" s="48" t="n">
        <f aca="false">Hmax_occ*(C88/Vmod_occ)^(1/m_occ)</f>
        <v>2.88423551344755</v>
      </c>
      <c r="E88" s="37" t="n">
        <f aca="false">Espejo_occ*(C88/Vmod_occ)^((m_occ-1)/m_occ)</f>
        <v>4673.17566337391</v>
      </c>
      <c r="F88" s="41" t="n">
        <f aca="false">(Evap_dia+Infil_dia)/1000*E88</f>
        <v>28.0390539802435</v>
      </c>
      <c r="G88" s="41" t="n">
        <f aca="false">IF(C88&gt;0,Cons_dia,0)</f>
        <v>2</v>
      </c>
      <c r="H88" s="48" t="n">
        <f aca="false">Fondo_occ+D88</f>
        <v>387.284235513448</v>
      </c>
      <c r="I88" s="37" t="n">
        <f aca="false">MAX(0,I87-L87-M87)</f>
        <v>5840.05415440066</v>
      </c>
      <c r="J88" s="48" t="n">
        <f aca="false">Hmax_ori*(I88/Vmod_ori)^(1/m_ori)</f>
        <v>3.18433416296292</v>
      </c>
      <c r="K88" s="37" t="n">
        <f aca="false">Espejo_ori*(I88/Vmod_ori)^((m_ori-1)/m_ori)</f>
        <v>4704.19815868179</v>
      </c>
      <c r="L88" s="41" t="n">
        <f aca="false">(Evap_dia+Infil_dia)/1000*K88</f>
        <v>28.2251889520908</v>
      </c>
      <c r="M88" s="41" t="n">
        <f aca="false">IF(I88&gt;0,Cons_dia,0)</f>
        <v>2</v>
      </c>
      <c r="N88" s="48" t="n">
        <f aca="false">Fondo_ori+J88</f>
        <v>386.284334162963</v>
      </c>
      <c r="O88" s="33" t="n">
        <f aca="false">Cota_casa</f>
        <v>383</v>
      </c>
    </row>
    <row r="89" customFormat="false" ht="15" hidden="false" customHeight="false" outlineLevel="0" collapsed="false">
      <c r="B89" s="25" t="n">
        <v>66</v>
      </c>
      <c r="C89" s="37" t="n">
        <f aca="false">MAX(0,C88-F88-G88)</f>
        <v>5415.83537385082</v>
      </c>
      <c r="D89" s="48" t="n">
        <f aca="false">Hmax_occ*(C89/Vmod_occ)^(1/m_occ)</f>
        <v>2.87779694259178</v>
      </c>
      <c r="E89" s="37" t="n">
        <f aca="false">Espejo_occ*(C89/Vmod_occ)^((m_occ-1)/m_occ)</f>
        <v>4657.79650811944</v>
      </c>
      <c r="F89" s="41" t="n">
        <f aca="false">(Evap_dia+Infil_dia)/1000*E89</f>
        <v>27.9467790487166</v>
      </c>
      <c r="G89" s="41" t="n">
        <f aca="false">IF(C89&gt;0,Cons_dia,0)</f>
        <v>2</v>
      </c>
      <c r="H89" s="48" t="n">
        <f aca="false">Fondo_occ+D89</f>
        <v>387.277796942592</v>
      </c>
      <c r="I89" s="37" t="n">
        <f aca="false">MAX(0,I88-L88-M88)</f>
        <v>5809.82896544857</v>
      </c>
      <c r="J89" s="48" t="n">
        <f aca="false">Hmax_ori*(I89/Vmod_ori)^(1/m_ori)</f>
        <v>3.17789883798579</v>
      </c>
      <c r="K89" s="37" t="n">
        <f aca="false">Espejo_ori*(I89/Vmod_ori)^((m_ori-1)/m_ori)</f>
        <v>4689.32840726323</v>
      </c>
      <c r="L89" s="41" t="n">
        <f aca="false">(Evap_dia+Infil_dia)/1000*K89</f>
        <v>28.1359704435794</v>
      </c>
      <c r="M89" s="41" t="n">
        <f aca="false">IF(I89&gt;0,Cons_dia,0)</f>
        <v>2</v>
      </c>
      <c r="N89" s="48" t="n">
        <f aca="false">Fondo_ori+J89</f>
        <v>386.277898837986</v>
      </c>
      <c r="O89" s="33" t="n">
        <f aca="false">Cota_casa</f>
        <v>383</v>
      </c>
    </row>
    <row r="90" customFormat="false" ht="15" hidden="false" customHeight="false" outlineLevel="0" collapsed="false">
      <c r="B90" s="25" t="n">
        <v>67</v>
      </c>
      <c r="C90" s="37" t="n">
        <f aca="false">MAX(0,C89-F89-G89)</f>
        <v>5385.8885948021</v>
      </c>
      <c r="D90" s="48" t="n">
        <f aca="false">Hmax_occ*(C90/Vmod_occ)^(1/m_occ)</f>
        <v>2.87135693019159</v>
      </c>
      <c r="E90" s="37" t="n">
        <f aca="false">Espejo_occ*(C90/Vmod_occ)^((m_occ-1)/m_occ)</f>
        <v>4642.43025030181</v>
      </c>
      <c r="F90" s="41" t="n">
        <f aca="false">(Evap_dia+Infil_dia)/1000*E90</f>
        <v>27.8545815018109</v>
      </c>
      <c r="G90" s="41" t="n">
        <f aca="false">IF(C90&gt;0,Cons_dia,0)</f>
        <v>2</v>
      </c>
      <c r="H90" s="48" t="n">
        <f aca="false">Fondo_occ+D90</f>
        <v>387.271356930192</v>
      </c>
      <c r="I90" s="37" t="n">
        <f aca="false">MAX(0,I89-L89-M89)</f>
        <v>5779.69299500499</v>
      </c>
      <c r="J90" s="48" t="n">
        <f aca="false">Hmax_ori*(I90/Vmod_ori)^(1/m_ori)</f>
        <v>3.17146213991917</v>
      </c>
      <c r="K90" s="37" t="n">
        <f aca="false">Espejo_ori*(I90/Vmod_ori)^((m_ori-1)/m_ori)</f>
        <v>4674.4724919105</v>
      </c>
      <c r="L90" s="41" t="n">
        <f aca="false">(Evap_dia+Infil_dia)/1000*K90</f>
        <v>28.046834951463</v>
      </c>
      <c r="M90" s="41" t="n">
        <f aca="false">IF(I90&gt;0,Cons_dia,0)</f>
        <v>2</v>
      </c>
      <c r="N90" s="48" t="n">
        <f aca="false">Fondo_ori+J90</f>
        <v>386.271462139919</v>
      </c>
      <c r="O90" s="33" t="n">
        <f aca="false">Cota_casa</f>
        <v>383</v>
      </c>
    </row>
    <row r="91" customFormat="false" ht="15" hidden="false" customHeight="false" outlineLevel="0" collapsed="false">
      <c r="B91" s="25" t="n">
        <v>68</v>
      </c>
      <c r="C91" s="37" t="n">
        <f aca="false">MAX(0,C90-F90-G90)</f>
        <v>5356.03401330029</v>
      </c>
      <c r="D91" s="48" t="n">
        <f aca="false">Hmax_occ*(C91/Vmod_occ)^(1/m_occ)</f>
        <v>2.86491546791993</v>
      </c>
      <c r="E91" s="37" t="n">
        <f aca="false">Espejo_occ*(C91/Vmod_occ)^((m_occ-1)/m_occ)</f>
        <v>4627.07690029782</v>
      </c>
      <c r="F91" s="41" t="n">
        <f aca="false">(Evap_dia+Infil_dia)/1000*E91</f>
        <v>27.7624614017869</v>
      </c>
      <c r="G91" s="41" t="n">
        <f aca="false">IF(C91&gt;0,Cons_dia,0)</f>
        <v>2</v>
      </c>
      <c r="H91" s="48" t="n">
        <f aca="false">Fondo_occ+D91</f>
        <v>387.26491546792</v>
      </c>
      <c r="I91" s="37" t="n">
        <f aca="false">MAX(0,I90-L90-M90)</f>
        <v>5749.64616005352</v>
      </c>
      <c r="J91" s="48" t="n">
        <f aca="false">Hmax_ori*(I91/Vmod_ori)^(1/m_ori)</f>
        <v>3.16502406132225</v>
      </c>
      <c r="K91" s="37" t="n">
        <f aca="false">Espejo_ori*(I91/Vmod_ori)^((m_ori-1)/m_ori)</f>
        <v>4659.63042138015</v>
      </c>
      <c r="L91" s="41" t="n">
        <f aca="false">(Evap_dia+Infil_dia)/1000*K91</f>
        <v>27.9577825282809</v>
      </c>
      <c r="M91" s="41" t="n">
        <f aca="false">IF(I91&gt;0,Cons_dia,0)</f>
        <v>2</v>
      </c>
      <c r="N91" s="48" t="n">
        <f aca="false">Fondo_ori+J91</f>
        <v>386.265024061322</v>
      </c>
      <c r="O91" s="33" t="n">
        <f aca="false">Cota_casa</f>
        <v>383</v>
      </c>
    </row>
    <row r="92" customFormat="false" ht="15" hidden="false" customHeight="false" outlineLevel="0" collapsed="false">
      <c r="B92" s="25" t="n">
        <v>69</v>
      </c>
      <c r="C92" s="37" t="n">
        <f aca="false">MAX(0,C91-F91-G91)</f>
        <v>5326.2715518985</v>
      </c>
      <c r="D92" s="48" t="n">
        <f aca="false">Hmax_occ*(C92/Vmod_occ)^(1/m_occ)</f>
        <v>2.8584725473798</v>
      </c>
      <c r="E92" s="37" t="n">
        <f aca="false">Espejo_occ*(C92/Vmod_occ)^((m_occ-1)/m_occ)</f>
        <v>4611.73646849694</v>
      </c>
      <c r="F92" s="41" t="n">
        <f aca="false">(Evap_dia+Infil_dia)/1000*E92</f>
        <v>27.6704188109816</v>
      </c>
      <c r="G92" s="41" t="n">
        <f aca="false">IF(C92&gt;0,Cons_dia,0)</f>
        <v>2</v>
      </c>
      <c r="H92" s="48" t="n">
        <f aca="false">Fondo_occ+D92</f>
        <v>387.25847254738</v>
      </c>
      <c r="I92" s="37" t="n">
        <f aca="false">MAX(0,I91-L91-M91)</f>
        <v>5719.68837752524</v>
      </c>
      <c r="J92" s="48" t="n">
        <f aca="false">Hmax_ori*(I92/Vmod_ori)^(1/m_ori)</f>
        <v>3.1585845946961</v>
      </c>
      <c r="K92" s="37" t="n">
        <f aca="false">Espejo_ori*(I92/Vmod_ori)^((m_ori-1)/m_ori)</f>
        <v>4644.80220443923</v>
      </c>
      <c r="L92" s="41" t="n">
        <f aca="false">(Evap_dia+Infil_dia)/1000*K92</f>
        <v>27.8688132266354</v>
      </c>
      <c r="M92" s="41" t="n">
        <f aca="false">IF(I92&gt;0,Cons_dia,0)</f>
        <v>2</v>
      </c>
      <c r="N92" s="48" t="n">
        <f aca="false">Fondo_ori+J92</f>
        <v>386.258584594696</v>
      </c>
      <c r="O92" s="33" t="n">
        <f aca="false">Cota_casa</f>
        <v>383</v>
      </c>
    </row>
    <row r="93" customFormat="false" ht="15" hidden="false" customHeight="false" outlineLevel="0" collapsed="false">
      <c r="B93" s="25" t="n">
        <v>70</v>
      </c>
      <c r="C93" s="37" t="n">
        <f aca="false">MAX(0,C92-F92-G92)</f>
        <v>5296.60113308752</v>
      </c>
      <c r="D93" s="48" t="n">
        <f aca="false">Hmax_occ*(C93/Vmod_occ)^(1/m_occ)</f>
        <v>2.85202816010355</v>
      </c>
      <c r="E93" s="37" t="n">
        <f aca="false">Espejo_occ*(C93/Vmod_occ)^((m_occ-1)/m_occ)</f>
        <v>4596.40896530126</v>
      </c>
      <c r="F93" s="41" t="n">
        <f aca="false">(Evap_dia+Infil_dia)/1000*E93</f>
        <v>27.5784537918076</v>
      </c>
      <c r="G93" s="41" t="n">
        <f aca="false">IF(C93&gt;0,Cons_dia,0)</f>
        <v>2</v>
      </c>
      <c r="H93" s="48" t="n">
        <f aca="false">Fondo_occ+D93</f>
        <v>387.252028160104</v>
      </c>
      <c r="I93" s="37" t="n">
        <f aca="false">MAX(0,I92-L92-M92)</f>
        <v>5689.81956429861</v>
      </c>
      <c r="J93" s="48" t="n">
        <f aca="false">Hmax_ori*(I93/Vmod_ori)^(1/m_ori)</f>
        <v>3.15214373248312</v>
      </c>
      <c r="K93" s="37" t="n">
        <f aca="false">Espejo_ori*(I93/Vmod_ori)^((m_ori-1)/m_ori)</f>
        <v>4629.98784986531</v>
      </c>
      <c r="L93" s="41" t="n">
        <f aca="false">(Evap_dia+Infil_dia)/1000*K93</f>
        <v>27.7799270991918</v>
      </c>
      <c r="M93" s="41" t="n">
        <f aca="false">IF(I93&gt;0,Cons_dia,0)</f>
        <v>2</v>
      </c>
      <c r="N93" s="48" t="n">
        <f aca="false">Fondo_ori+J93</f>
        <v>386.252143732483</v>
      </c>
      <c r="O93" s="33" t="n">
        <f aca="false">Cota_casa</f>
        <v>383</v>
      </c>
    </row>
    <row r="94" customFormat="false" ht="15" hidden="false" customHeight="false" outlineLevel="0" collapsed="false">
      <c r="B94" s="25" t="n">
        <v>71</v>
      </c>
      <c r="C94" s="37" t="n">
        <f aca="false">MAX(0,C93-F93-G93)</f>
        <v>5267.02267929571</v>
      </c>
      <c r="D94" s="48" t="n">
        <f aca="false">Hmax_occ*(C94/Vmod_occ)^(1/m_occ)</f>
        <v>2.84558229755201</v>
      </c>
      <c r="E94" s="37" t="n">
        <f aca="false">Espejo_occ*(C94/Vmod_occ)^((m_occ-1)/m_occ)</f>
        <v>4581.09440112533</v>
      </c>
      <c r="F94" s="41" t="n">
        <f aca="false">(Evap_dia+Infil_dia)/1000*E94</f>
        <v>27.486566406752</v>
      </c>
      <c r="G94" s="41" t="n">
        <f aca="false">IF(C94&gt;0,Cons_dia,0)</f>
        <v>2</v>
      </c>
      <c r="H94" s="48" t="n">
        <f aca="false">Fondo_occ+D94</f>
        <v>387.245582297552</v>
      </c>
      <c r="I94" s="37" t="n">
        <f aca="false">MAX(0,I93-L93-M93)</f>
        <v>5660.03963719942</v>
      </c>
      <c r="J94" s="48" t="n">
        <f aca="false">Hmax_ori*(I94/Vmod_ori)^(1/m_ori)</f>
        <v>3.14570146706641</v>
      </c>
      <c r="K94" s="37" t="n">
        <f aca="false">Espejo_ori*(I94/Vmod_ori)^((m_ori-1)/m_ori)</f>
        <v>4615.18736644631</v>
      </c>
      <c r="L94" s="41" t="n">
        <f aca="false">(Evap_dia+Infil_dia)/1000*K94</f>
        <v>27.6911241986778</v>
      </c>
      <c r="M94" s="41" t="n">
        <f aca="false">IF(I94&gt;0,Cons_dia,0)</f>
        <v>2</v>
      </c>
      <c r="N94" s="48" t="n">
        <f aca="false">Fondo_ori+J94</f>
        <v>386.245701467066</v>
      </c>
      <c r="O94" s="33" t="n">
        <f aca="false">Cota_casa</f>
        <v>383</v>
      </c>
    </row>
    <row r="95" customFormat="false" ht="15" hidden="false" customHeight="false" outlineLevel="0" collapsed="false">
      <c r="B95" s="25" t="n">
        <v>72</v>
      </c>
      <c r="C95" s="37" t="n">
        <f aca="false">MAX(0,C94-F94-G94)</f>
        <v>5237.53611288896</v>
      </c>
      <c r="D95" s="48" t="n">
        <f aca="false">Hmax_occ*(C95/Vmod_occ)^(1/m_occ)</f>
        <v>2.83913495111378</v>
      </c>
      <c r="E95" s="37" t="n">
        <f aca="false">Espejo_occ*(C95/Vmod_occ)^((m_occ-1)/m_occ)</f>
        <v>4565.79278639604</v>
      </c>
      <c r="F95" s="41" t="n">
        <f aca="false">(Evap_dia+Infil_dia)/1000*E95</f>
        <v>27.3947567183762</v>
      </c>
      <c r="G95" s="41" t="n">
        <f aca="false">IF(C95&gt;0,Cons_dia,0)</f>
        <v>2</v>
      </c>
      <c r="H95" s="48" t="n">
        <f aca="false">Fondo_occ+D95</f>
        <v>387.239134951114</v>
      </c>
      <c r="I95" s="37" t="n">
        <f aca="false">MAX(0,I94-L94-M94)</f>
        <v>5630.34851300074</v>
      </c>
      <c r="J95" s="48" t="n">
        <f aca="false">Hmax_ori*(I95/Vmod_ori)^(1/m_ori)</f>
        <v>3.13925779076914</v>
      </c>
      <c r="K95" s="37" t="n">
        <f aca="false">Espejo_ori*(I95/Vmod_ori)^((m_ori-1)/m_ori)</f>
        <v>4600.40076298051</v>
      </c>
      <c r="L95" s="41" t="n">
        <f aca="false">(Evap_dia+Infil_dia)/1000*K95</f>
        <v>27.6024045778831</v>
      </c>
      <c r="M95" s="41" t="n">
        <f aca="false">IF(I95&gt;0,Cons_dia,0)</f>
        <v>2</v>
      </c>
      <c r="N95" s="48" t="n">
        <f aca="false">Fondo_ori+J95</f>
        <v>386.239257790769</v>
      </c>
      <c r="O95" s="33" t="n">
        <f aca="false">Cota_casa</f>
        <v>383</v>
      </c>
    </row>
    <row r="96" customFormat="false" ht="15" hidden="false" customHeight="false" outlineLevel="0" collapsed="false">
      <c r="B96" s="25" t="n">
        <v>73</v>
      </c>
      <c r="C96" s="37" t="n">
        <f aca="false">MAX(0,C95-F95-G95)</f>
        <v>5208.14135617058</v>
      </c>
      <c r="D96" s="48" t="n">
        <f aca="false">Hmax_occ*(C96/Vmod_occ)^(1/m_occ)</f>
        <v>2.83268611210434</v>
      </c>
      <c r="E96" s="37" t="n">
        <f aca="false">Espejo_occ*(C96/Vmod_occ)^((m_occ-1)/m_occ)</f>
        <v>4550.5041315525</v>
      </c>
      <c r="F96" s="41" t="n">
        <f aca="false">(Evap_dia+Infil_dia)/1000*E96</f>
        <v>27.303024789315</v>
      </c>
      <c r="G96" s="41" t="n">
        <f aca="false">IF(C96&gt;0,Cons_dia,0)</f>
        <v>2</v>
      </c>
      <c r="H96" s="48" t="n">
        <f aca="false">Fondo_occ+D96</f>
        <v>387.232686112104</v>
      </c>
      <c r="I96" s="37" t="n">
        <f aca="false">MAX(0,I95-L95-M95)</f>
        <v>5600.74610842285</v>
      </c>
      <c r="J96" s="48" t="n">
        <f aca="false">Hmax_ori*(I96/Vmod_ori)^(1/m_ori)</f>
        <v>3.13281269585398</v>
      </c>
      <c r="K96" s="37" t="n">
        <f aca="false">Espejo_ori*(I96/Vmod_ori)^((m_ori-1)/m_ori)</f>
        <v>4585.62804827646</v>
      </c>
      <c r="L96" s="41" t="n">
        <f aca="false">(Evap_dia+Infil_dia)/1000*K96</f>
        <v>27.5137682896588</v>
      </c>
      <c r="M96" s="41" t="n">
        <f aca="false">IF(I96&gt;0,Cons_dia,0)</f>
        <v>2</v>
      </c>
      <c r="N96" s="48" t="n">
        <f aca="false">Fondo_ori+J96</f>
        <v>386.232812695854</v>
      </c>
      <c r="O96" s="33" t="n">
        <f aca="false">Cota_casa</f>
        <v>383</v>
      </c>
    </row>
    <row r="97" customFormat="false" ht="15" hidden="false" customHeight="false" outlineLevel="0" collapsed="false">
      <c r="B97" s="25" t="n">
        <v>74</v>
      </c>
      <c r="C97" s="37" t="n">
        <f aca="false">MAX(0,C96-F96-G96)</f>
        <v>5178.83833138127</v>
      </c>
      <c r="D97" s="48" t="n">
        <f aca="false">Hmax_occ*(C97/Vmod_occ)^(1/m_occ)</f>
        <v>2.82623577176529</v>
      </c>
      <c r="E97" s="37" t="n">
        <f aca="false">Espejo_occ*(C97/Vmod_occ)^((m_occ-1)/m_occ)</f>
        <v>4535.2284470459</v>
      </c>
      <c r="F97" s="41" t="n">
        <f aca="false">(Evap_dia+Infil_dia)/1000*E97</f>
        <v>27.2113706822754</v>
      </c>
      <c r="G97" s="41" t="n">
        <f aca="false">IF(C97&gt;0,Cons_dia,0)</f>
        <v>2</v>
      </c>
      <c r="H97" s="48" t="n">
        <f aca="false">Fondo_occ+D97</f>
        <v>387.226235771765</v>
      </c>
      <c r="I97" s="37" t="n">
        <f aca="false">MAX(0,I96-L96-M96)</f>
        <v>5571.2323401332</v>
      </c>
      <c r="J97" s="48" t="n">
        <f aca="false">Hmax_ori*(I97/Vmod_ori)^(1/m_ori)</f>
        <v>3.12636617452242</v>
      </c>
      <c r="K97" s="37" t="n">
        <f aca="false">Espejo_ori*(I97/Vmod_ori)^((m_ori-1)/m_ori)</f>
        <v>4570.86923115287</v>
      </c>
      <c r="L97" s="41" t="n">
        <f aca="false">(Evap_dia+Infil_dia)/1000*K97</f>
        <v>27.4252153869172</v>
      </c>
      <c r="M97" s="41" t="n">
        <f aca="false">IF(I97&gt;0,Cons_dia,0)</f>
        <v>2</v>
      </c>
      <c r="N97" s="48" t="n">
        <f aca="false">Fondo_ori+J97</f>
        <v>386.226366174522</v>
      </c>
      <c r="O97" s="33" t="n">
        <f aca="false">Cota_casa</f>
        <v>383</v>
      </c>
    </row>
    <row r="98" customFormat="false" ht="15" hidden="false" customHeight="false" outlineLevel="0" collapsed="false">
      <c r="B98" s="25" t="n">
        <v>75</v>
      </c>
      <c r="C98" s="37" t="n">
        <f aca="false">MAX(0,C97-F97-G97)</f>
        <v>5149.62696069899</v>
      </c>
      <c r="D98" s="48" t="n">
        <f aca="false">Hmax_occ*(C98/Vmod_occ)^(1/m_occ)</f>
        <v>2.81978392126346</v>
      </c>
      <c r="E98" s="37" t="n">
        <f aca="false">Espejo_occ*(C98/Vmod_occ)^((m_occ-1)/m_occ)</f>
        <v>4519.96574333937</v>
      </c>
      <c r="F98" s="41" t="n">
        <f aca="false">(Evap_dia+Infil_dia)/1000*E98</f>
        <v>27.1197944600362</v>
      </c>
      <c r="G98" s="41" t="n">
        <f aca="false">IF(C98&gt;0,Cons_dia,0)</f>
        <v>2</v>
      </c>
      <c r="H98" s="48" t="n">
        <f aca="false">Fondo_occ+D98</f>
        <v>387.219783921263</v>
      </c>
      <c r="I98" s="37" t="n">
        <f aca="false">MAX(0,I97-L97-M97)</f>
        <v>5541.80712474628</v>
      </c>
      <c r="J98" s="48" t="n">
        <f aca="false">Hmax_ori*(I98/Vmod_ori)^(1/m_ori)</f>
        <v>3.11991821891415</v>
      </c>
      <c r="K98" s="37" t="n">
        <f aca="false">Espejo_ori*(I98/Vmod_ori)^((m_ori-1)/m_ori)</f>
        <v>4556.12432043859</v>
      </c>
      <c r="L98" s="41" t="n">
        <f aca="false">(Evap_dia+Infil_dia)/1000*K98</f>
        <v>27.3367459226315</v>
      </c>
      <c r="M98" s="41" t="n">
        <f aca="false">IF(I98&gt;0,Cons_dia,0)</f>
        <v>2</v>
      </c>
      <c r="N98" s="48" t="n">
        <f aca="false">Fondo_ori+J98</f>
        <v>386.219918218914</v>
      </c>
      <c r="O98" s="33" t="n">
        <f aca="false">Cota_casa</f>
        <v>383</v>
      </c>
    </row>
    <row r="99" customFormat="false" ht="15" hidden="false" customHeight="false" outlineLevel="0" collapsed="false">
      <c r="B99" s="25" t="n">
        <v>76</v>
      </c>
      <c r="C99" s="37" t="n">
        <f aca="false">MAX(0,C98-F98-G98)</f>
        <v>5120.50716623896</v>
      </c>
      <c r="D99" s="48" t="n">
        <f aca="false">Hmax_occ*(C99/Vmod_occ)^(1/m_occ)</f>
        <v>2.81333055169013</v>
      </c>
      <c r="E99" s="37" t="n">
        <f aca="false">Espejo_occ*(C99/Vmod_occ)^((m_occ-1)/m_occ)</f>
        <v>4504.71603090787</v>
      </c>
      <c r="F99" s="41" t="n">
        <f aca="false">(Evap_dia+Infil_dia)/1000*E99</f>
        <v>27.0282961854472</v>
      </c>
      <c r="G99" s="41" t="n">
        <f aca="false">IF(C99&gt;0,Cons_dia,0)</f>
        <v>2</v>
      </c>
      <c r="H99" s="48" t="n">
        <f aca="false">Fondo_occ+D99</f>
        <v>387.21333055169</v>
      </c>
      <c r="I99" s="37" t="n">
        <f aca="false">MAX(0,I98-L98-M98)</f>
        <v>5512.47037882365</v>
      </c>
      <c r="J99" s="48" t="n">
        <f aca="false">Hmax_ori*(I99/Vmod_ori)^(1/m_ori)</f>
        <v>3.11346882110642</v>
      </c>
      <c r="K99" s="37" t="n">
        <f aca="false">Espejo_ori*(I99/Vmod_ori)^((m_ori-1)/m_ori)</f>
        <v>4541.39332497249</v>
      </c>
      <c r="L99" s="41" t="n">
        <f aca="false">(Evap_dia+Infil_dia)/1000*K99</f>
        <v>27.248359949835</v>
      </c>
      <c r="M99" s="41" t="n">
        <f aca="false">IF(I99&gt;0,Cons_dia,0)</f>
        <v>2</v>
      </c>
      <c r="N99" s="48" t="n">
        <f aca="false">Fondo_ori+J99</f>
        <v>386.213468821106</v>
      </c>
      <c r="O99" s="33" t="n">
        <f aca="false">Cota_casa</f>
        <v>383</v>
      </c>
    </row>
    <row r="100" customFormat="false" ht="15" hidden="false" customHeight="false" outlineLevel="0" collapsed="false">
      <c r="B100" s="25" t="n">
        <v>77</v>
      </c>
      <c r="C100" s="37" t="n">
        <f aca="false">MAX(0,C99-F99-G99)</f>
        <v>5091.47887005351</v>
      </c>
      <c r="D100" s="48" t="n">
        <f aca="false">Hmax_occ*(C100/Vmod_occ)^(1/m_occ)</f>
        <v>2.80687565406012</v>
      </c>
      <c r="E100" s="37" t="n">
        <f aca="false">Espejo_occ*(C100/Vmod_occ)^((m_occ-1)/m_occ)</f>
        <v>4489.479320238</v>
      </c>
      <c r="F100" s="41" t="n">
        <f aca="false">(Evap_dia+Infil_dia)/1000*E100</f>
        <v>26.936875921428</v>
      </c>
      <c r="G100" s="41" t="n">
        <f aca="false">IF(C100&gt;0,Cons_dia,0)</f>
        <v>2</v>
      </c>
      <c r="H100" s="48" t="n">
        <f aca="false">Fondo_occ+D100</f>
        <v>387.20687565406</v>
      </c>
      <c r="I100" s="37" t="n">
        <f aca="false">MAX(0,I99-L99-M99)</f>
        <v>5483.22201887381</v>
      </c>
      <c r="J100" s="48" t="n">
        <f aca="false">Hmax_ori*(I100/Vmod_ori)^(1/m_ori)</f>
        <v>3.10701797311337</v>
      </c>
      <c r="K100" s="37" t="n">
        <f aca="false">Espejo_ori*(I100/Vmod_ori)^((m_ori-1)/m_ori)</f>
        <v>4526.67625360342</v>
      </c>
      <c r="L100" s="41" t="n">
        <f aca="false">(Evap_dia+Infil_dia)/1000*K100</f>
        <v>27.1600575216205</v>
      </c>
      <c r="M100" s="41" t="n">
        <f aca="false">IF(I100&gt;0,Cons_dia,0)</f>
        <v>2</v>
      </c>
      <c r="N100" s="48" t="n">
        <f aca="false">Fondo_ori+J100</f>
        <v>386.207017973113</v>
      </c>
      <c r="O100" s="33" t="n">
        <f aca="false">Cota_casa</f>
        <v>383</v>
      </c>
    </row>
    <row r="101" customFormat="false" ht="15" hidden="false" customHeight="false" outlineLevel="0" collapsed="false">
      <c r="B101" s="25" t="n">
        <v>78</v>
      </c>
      <c r="C101" s="37" t="n">
        <f aca="false">MAX(0,C100-F100-G100)</f>
        <v>5062.54199413208</v>
      </c>
      <c r="D101" s="48" t="n">
        <f aca="false">Hmax_occ*(C101/Vmod_occ)^(1/m_occ)</f>
        <v>2.80041921931095</v>
      </c>
      <c r="E101" s="37" t="n">
        <f aca="false">Espejo_occ*(C101/Vmod_occ)^((m_occ-1)/m_occ)</f>
        <v>4474.25562182789</v>
      </c>
      <c r="F101" s="41" t="n">
        <f aca="false">(Evap_dia+Infil_dia)/1000*E101</f>
        <v>26.8455337309674</v>
      </c>
      <c r="G101" s="41" t="n">
        <f aca="false">IF(C101&gt;0,Cons_dia,0)</f>
        <v>2</v>
      </c>
      <c r="H101" s="48" t="n">
        <f aca="false">Fondo_occ+D101</f>
        <v>387.200419219311</v>
      </c>
      <c r="I101" s="37" t="n">
        <f aca="false">MAX(0,I100-L100-M100)</f>
        <v>5454.06196135219</v>
      </c>
      <c r="J101" s="48" t="n">
        <f aca="false">Hmax_ori*(I101/Vmod_ori)^(1/m_ori)</f>
        <v>3.10056566688541</v>
      </c>
      <c r="K101" s="37" t="n">
        <f aca="false">Espejo_ori*(I101/Vmod_ori)^((m_ori-1)/m_ori)</f>
        <v>4511.97311519008</v>
      </c>
      <c r="L101" s="41" t="n">
        <f aca="false">(Evap_dia+Infil_dia)/1000*K101</f>
        <v>27.0718386911405</v>
      </c>
      <c r="M101" s="41" t="n">
        <f aca="false">IF(I101&gt;0,Cons_dia,0)</f>
        <v>2</v>
      </c>
      <c r="N101" s="48" t="n">
        <f aca="false">Fondo_ori+J101</f>
        <v>386.200565666885</v>
      </c>
      <c r="O101" s="33" t="n">
        <f aca="false">Cota_casa</f>
        <v>383</v>
      </c>
    </row>
    <row r="102" customFormat="false" ht="15" hidden="false" customHeight="false" outlineLevel="0" collapsed="false">
      <c r="B102" s="25" t="n">
        <v>79</v>
      </c>
      <c r="C102" s="37" t="n">
        <f aca="false">MAX(0,C101-F101-G101)</f>
        <v>5033.69646040112</v>
      </c>
      <c r="D102" s="48" t="n">
        <f aca="false">Hmax_occ*(C102/Vmod_occ)^(1/m_occ)</f>
        <v>2.79396123830195</v>
      </c>
      <c r="E102" s="37" t="n">
        <f aca="false">Espejo_occ*(C102/Vmod_occ)^((m_occ-1)/m_occ)</f>
        <v>4459.04494618704</v>
      </c>
      <c r="F102" s="41" t="n">
        <f aca="false">(Evap_dia+Infil_dia)/1000*E102</f>
        <v>26.7542696771222</v>
      </c>
      <c r="G102" s="41" t="n">
        <f aca="false">IF(C102&gt;0,Cons_dia,0)</f>
        <v>2</v>
      </c>
      <c r="H102" s="48" t="n">
        <f aca="false">Fondo_occ+D102</f>
        <v>387.193961238302</v>
      </c>
      <c r="I102" s="37" t="n">
        <f aca="false">MAX(0,I101-L101-M101)</f>
        <v>5424.99012266105</v>
      </c>
      <c r="J102" s="48" t="n">
        <f aca="false">Hmax_ori*(I102/Vmod_ori)^(1/m_ori)</f>
        <v>3.09411189430848</v>
      </c>
      <c r="K102" s="37" t="n">
        <f aca="false">Espejo_ori*(I102/Vmod_ori)^((m_ori-1)/m_ori)</f>
        <v>4497.283918601</v>
      </c>
      <c r="L102" s="41" t="n">
        <f aca="false">(Evap_dia+Infil_dia)/1000*K102</f>
        <v>26.983703511606</v>
      </c>
      <c r="M102" s="41" t="n">
        <f aca="false">IF(I102&gt;0,Cons_dia,0)</f>
        <v>2</v>
      </c>
      <c r="N102" s="48" t="n">
        <f aca="false">Fondo_ori+J102</f>
        <v>386.194111894308</v>
      </c>
      <c r="O102" s="33" t="n">
        <f aca="false">Cota_casa</f>
        <v>383</v>
      </c>
    </row>
    <row r="103" customFormat="false" ht="15" hidden="false" customHeight="false" outlineLevel="0" collapsed="false">
      <c r="B103" s="25" t="n">
        <v>80</v>
      </c>
      <c r="C103" s="37" t="n">
        <f aca="false">MAX(0,C102-F102-G102)</f>
        <v>5004.94219072399</v>
      </c>
      <c r="D103" s="48" t="n">
        <f aca="false">Hmax_occ*(C103/Vmod_occ)^(1/m_occ)</f>
        <v>2.78750170181335</v>
      </c>
      <c r="E103" s="37" t="n">
        <f aca="false">Espejo_occ*(C103/Vmod_occ)^((m_occ-1)/m_occ)</f>
        <v>4443.84730383614</v>
      </c>
      <c r="F103" s="41" t="n">
        <f aca="false">(Evap_dia+Infil_dia)/1000*E103</f>
        <v>26.6630838230168</v>
      </c>
      <c r="G103" s="41" t="n">
        <f aca="false">IF(C103&gt;0,Cons_dia,0)</f>
        <v>2</v>
      </c>
      <c r="H103" s="48" t="n">
        <f aca="false">Fondo_occ+D103</f>
        <v>387.187501701813</v>
      </c>
      <c r="I103" s="37" t="n">
        <f aca="false">MAX(0,I102-L102-M102)</f>
        <v>5396.00641914944</v>
      </c>
      <c r="J103" s="48" t="n">
        <f aca="false">Hmax_ori*(I103/Vmod_ori)^(1/m_ori)</f>
        <v>3.08765664720343</v>
      </c>
      <c r="K103" s="37" t="n">
        <f aca="false">Espejo_ori*(I103/Vmod_ori)^((m_ori-1)/m_ori)</f>
        <v>4482.60867271439</v>
      </c>
      <c r="L103" s="41" t="n">
        <f aca="false">(Evap_dia+Infil_dia)/1000*K103</f>
        <v>26.8956520362863</v>
      </c>
      <c r="M103" s="41" t="n">
        <f aca="false">IF(I103&gt;0,Cons_dia,0)</f>
        <v>2</v>
      </c>
      <c r="N103" s="48" t="n">
        <f aca="false">Fondo_ori+J103</f>
        <v>386.187656647203</v>
      </c>
      <c r="O103" s="33" t="n">
        <f aca="false">Cota_casa</f>
        <v>383</v>
      </c>
    </row>
    <row r="104" customFormat="false" ht="15" hidden="false" customHeight="false" outlineLevel="0" collapsed="false">
      <c r="B104" s="25" t="n">
        <v>81</v>
      </c>
      <c r="C104" s="37" t="n">
        <f aca="false">MAX(0,C103-F103-G103)</f>
        <v>4976.27910690098</v>
      </c>
      <c r="D104" s="48" t="n">
        <f aca="false">Hmax_occ*(C104/Vmod_occ)^(1/m_occ)</f>
        <v>2.78104060054541</v>
      </c>
      <c r="E104" s="37" t="n">
        <f aca="false">Espejo_occ*(C104/Vmod_occ)^((m_occ-1)/m_occ)</f>
        <v>4428.66270530696</v>
      </c>
      <c r="F104" s="41" t="n">
        <f aca="false">(Evap_dia+Infil_dia)/1000*E104</f>
        <v>26.5719762318418</v>
      </c>
      <c r="G104" s="41" t="n">
        <f aca="false">IF(C104&gt;0,Cons_dia,0)</f>
        <v>2</v>
      </c>
      <c r="H104" s="48" t="n">
        <f aca="false">Fondo_occ+D104</f>
        <v>387.181040600545</v>
      </c>
      <c r="I104" s="37" t="n">
        <f aca="false">MAX(0,I103-L103-M103)</f>
        <v>5367.11076711316</v>
      </c>
      <c r="J104" s="48" t="n">
        <f aca="false">Hmax_ori*(I104/Vmod_ori)^(1/m_ori)</f>
        <v>3.08119991732529</v>
      </c>
      <c r="K104" s="37" t="n">
        <f aca="false">Espejo_ori*(I104/Vmod_ori)^((m_ori-1)/m_ori)</f>
        <v>4467.94738641811</v>
      </c>
      <c r="L104" s="41" t="n">
        <f aca="false">(Evap_dia+Infil_dia)/1000*K104</f>
        <v>26.8076843185087</v>
      </c>
      <c r="M104" s="41" t="n">
        <f aca="false">IF(I104&gt;0,Cons_dia,0)</f>
        <v>2</v>
      </c>
      <c r="N104" s="48" t="n">
        <f aca="false">Fondo_ori+J104</f>
        <v>386.181199917325</v>
      </c>
      <c r="O104" s="33" t="n">
        <f aca="false">Cota_casa</f>
        <v>383</v>
      </c>
    </row>
    <row r="105" customFormat="false" ht="15" hidden="false" customHeight="false" outlineLevel="0" collapsed="false">
      <c r="B105" s="25" t="n">
        <v>82</v>
      </c>
      <c r="C105" s="37" t="n">
        <f aca="false">MAX(0,C104-F104-G104)</f>
        <v>4947.70713066913</v>
      </c>
      <c r="D105" s="48" t="n">
        <f aca="false">Hmax_occ*(C105/Vmod_occ)^(1/m_occ)</f>
        <v>2.77457792511747</v>
      </c>
      <c r="E105" s="37" t="n">
        <f aca="false">Espejo_occ*(C105/Vmod_occ)^((m_occ-1)/m_occ)</f>
        <v>4413.49116114216</v>
      </c>
      <c r="F105" s="41" t="n">
        <f aca="false">(Evap_dia+Infil_dia)/1000*E105</f>
        <v>26.4809469668529</v>
      </c>
      <c r="G105" s="41" t="n">
        <f aca="false">IF(C105&gt;0,Cons_dia,0)</f>
        <v>2</v>
      </c>
      <c r="H105" s="48" t="n">
        <f aca="false">Fondo_occ+D105</f>
        <v>387.174577925117</v>
      </c>
      <c r="I105" s="37" t="n">
        <f aca="false">MAX(0,I104-L104-M104)</f>
        <v>5338.30308279465</v>
      </c>
      <c r="J105" s="48" t="n">
        <f aca="false">Hmax_ori*(I105/Vmod_ori)^(1/m_ori)</f>
        <v>3.07474169636261</v>
      </c>
      <c r="K105" s="37" t="n">
        <f aca="false">Espejo_ori*(I105/Vmod_ori)^((m_ori-1)/m_ori)</f>
        <v>4453.30006860955</v>
      </c>
      <c r="L105" s="41" t="n">
        <f aca="false">(Evap_dia+Infil_dia)/1000*K105</f>
        <v>26.7198004116573</v>
      </c>
      <c r="M105" s="41" t="n">
        <f aca="false">IF(I105&gt;0,Cons_dia,0)</f>
        <v>2</v>
      </c>
      <c r="N105" s="48" t="n">
        <f aca="false">Fondo_ori+J105</f>
        <v>386.174741696363</v>
      </c>
      <c r="O105" s="33" t="n">
        <f aca="false">Cota_casa</f>
        <v>383</v>
      </c>
    </row>
    <row r="106" customFormat="false" ht="15" hidden="false" customHeight="false" outlineLevel="0" collapsed="false">
      <c r="B106" s="25" t="n">
        <v>83</v>
      </c>
      <c r="C106" s="37" t="n">
        <f aca="false">MAX(0,C105-F105-G105)</f>
        <v>4919.22618370228</v>
      </c>
      <c r="D106" s="48" t="n">
        <f aca="false">Hmax_occ*(C106/Vmod_occ)^(1/m_occ)</f>
        <v>2.76811366606704</v>
      </c>
      <c r="E106" s="37" t="n">
        <f aca="false">Espejo_occ*(C106/Vmod_occ)^((m_occ-1)/m_occ)</f>
        <v>4398.3326818951</v>
      </c>
      <c r="F106" s="41" t="n">
        <f aca="false">(Evap_dia+Infil_dia)/1000*E106</f>
        <v>26.3899960913706</v>
      </c>
      <c r="G106" s="41" t="n">
        <f aca="false">IF(C106&gt;0,Cons_dia,0)</f>
        <v>2</v>
      </c>
      <c r="H106" s="48" t="n">
        <f aca="false">Fondo_occ+D106</f>
        <v>387.168113666067</v>
      </c>
      <c r="I106" s="37" t="n">
        <f aca="false">MAX(0,I105-L105-M105)</f>
        <v>5309.58328238299</v>
      </c>
      <c r="J106" s="48" t="n">
        <f aca="false">Hmax_ori*(I106/Vmod_ori)^(1/m_ori)</f>
        <v>3.06828197593671</v>
      </c>
      <c r="K106" s="37" t="n">
        <f aca="false">Espejo_ori*(I106/Vmod_ori)^((m_ori-1)/m_ori)</f>
        <v>4438.66672819555</v>
      </c>
      <c r="L106" s="41" t="n">
        <f aca="false">(Evap_dia+Infil_dia)/1000*K106</f>
        <v>26.6320003691733</v>
      </c>
      <c r="M106" s="41" t="n">
        <f aca="false">IF(I106&gt;0,Cons_dia,0)</f>
        <v>2</v>
      </c>
      <c r="N106" s="48" t="n">
        <f aca="false">Fondo_ori+J106</f>
        <v>386.168281975937</v>
      </c>
      <c r="O106" s="33" t="n">
        <f aca="false">Cota_casa</f>
        <v>383</v>
      </c>
    </row>
    <row r="107" customFormat="false" ht="15" hidden="false" customHeight="false" outlineLevel="0" collapsed="false">
      <c r="B107" s="25" t="n">
        <v>84</v>
      </c>
      <c r="C107" s="37" t="n">
        <f aca="false">MAX(0,C106-F106-G106)</f>
        <v>4890.83618761091</v>
      </c>
      <c r="D107" s="48" t="n">
        <f aca="false">Hmax_occ*(C107/Vmod_occ)^(1/m_occ)</f>
        <v>2.76164781384884</v>
      </c>
      <c r="E107" s="37" t="n">
        <f aca="false">Espejo_occ*(C107/Vmod_occ)^((m_occ-1)/m_occ)</f>
        <v>4383.18727812973</v>
      </c>
      <c r="F107" s="41" t="n">
        <f aca="false">(Evap_dia+Infil_dia)/1000*E107</f>
        <v>26.2991236687784</v>
      </c>
      <c r="G107" s="41" t="n">
        <f aca="false">IF(C107&gt;0,Cons_dia,0)</f>
        <v>2</v>
      </c>
      <c r="H107" s="48" t="n">
        <f aca="false">Fondo_occ+D107</f>
        <v>387.161647813849</v>
      </c>
      <c r="I107" s="37" t="n">
        <f aca="false">MAX(0,I106-L106-M106)</f>
        <v>5280.95128201382</v>
      </c>
      <c r="J107" s="48" t="n">
        <f aca="false">Hmax_ori*(I107/Vmod_ori)^(1/m_ori)</f>
        <v>3.06182074760099</v>
      </c>
      <c r="K107" s="37" t="n">
        <f aca="false">Espejo_ori*(I107/Vmod_ori)^((m_ori-1)/m_ori)</f>
        <v>4424.04737409228</v>
      </c>
      <c r="L107" s="41" t="n">
        <f aca="false">(Evap_dia+Infil_dia)/1000*K107</f>
        <v>26.5442842445537</v>
      </c>
      <c r="M107" s="41" t="n">
        <f aca="false">IF(I107&gt;0,Cons_dia,0)</f>
        <v>2</v>
      </c>
      <c r="N107" s="48" t="n">
        <f aca="false">Fondo_ori+J107</f>
        <v>386.161820747601</v>
      </c>
      <c r="O107" s="33" t="n">
        <f aca="false">Cota_casa</f>
        <v>383</v>
      </c>
    </row>
    <row r="108" customFormat="false" ht="15" hidden="false" customHeight="false" outlineLevel="0" collapsed="false">
      <c r="B108" s="25" t="n">
        <v>85</v>
      </c>
      <c r="C108" s="37" t="n">
        <f aca="false">MAX(0,C107-F107-G107)</f>
        <v>4862.53706394213</v>
      </c>
      <c r="D108" s="48" t="n">
        <f aca="false">Hmax_occ*(C108/Vmod_occ)^(1/m_occ)</f>
        <v>2.75518035883381</v>
      </c>
      <c r="E108" s="37" t="n">
        <f aca="false">Espejo_occ*(C108/Vmod_occ)^((m_occ-1)/m_occ)</f>
        <v>4368.05496042036</v>
      </c>
      <c r="F108" s="41" t="n">
        <f aca="false">(Evap_dia+Infil_dia)/1000*E108</f>
        <v>26.2083297625221</v>
      </c>
      <c r="G108" s="41" t="n">
        <f aca="false">IF(C108&gt;0,Cons_dia,0)</f>
        <v>2</v>
      </c>
      <c r="H108" s="48" t="n">
        <f aca="false">Fondo_occ+D108</f>
        <v>387.155180358834</v>
      </c>
      <c r="I108" s="37" t="n">
        <f aca="false">MAX(0,I107-L107-M107)</f>
        <v>5252.40699776926</v>
      </c>
      <c r="J108" s="48" t="n">
        <f aca="false">Hmax_ori*(I108/Vmod_ori)^(1/m_ori)</f>
        <v>3.05535800284021</v>
      </c>
      <c r="K108" s="37" t="n">
        <f aca="false">Espejo_ori*(I108/Vmod_ori)^((m_ori-1)/m_ori)</f>
        <v>4409.4420152252</v>
      </c>
      <c r="L108" s="41" t="n">
        <f aca="false">(Evap_dia+Infil_dia)/1000*K108</f>
        <v>26.4566520913512</v>
      </c>
      <c r="M108" s="41" t="n">
        <f aca="false">IF(I108&gt;0,Cons_dia,0)</f>
        <v>2</v>
      </c>
      <c r="N108" s="48" t="n">
        <f aca="false">Fondo_ori+J108</f>
        <v>386.15535800284</v>
      </c>
      <c r="O108" s="33" t="n">
        <f aca="false">Cota_casa</f>
        <v>383</v>
      </c>
    </row>
    <row r="109" customFormat="false" ht="15" hidden="false" customHeight="false" outlineLevel="0" collapsed="false">
      <c r="B109" s="25" t="n">
        <v>86</v>
      </c>
      <c r="C109" s="37" t="n">
        <f aca="false">MAX(0,C108-F108-G108)</f>
        <v>4834.32873417961</v>
      </c>
      <c r="D109" s="48" t="n">
        <f aca="false">Hmax_occ*(C109/Vmod_occ)^(1/m_occ)</f>
        <v>2.74871129130822</v>
      </c>
      <c r="E109" s="37" t="n">
        <f aca="false">Espejo_occ*(C109/Vmod_occ)^((m_occ-1)/m_occ)</f>
        <v>4352.93573935149</v>
      </c>
      <c r="F109" s="41" t="n">
        <f aca="false">(Evap_dia+Infil_dia)/1000*E109</f>
        <v>26.1176144361089</v>
      </c>
      <c r="G109" s="41" t="n">
        <f aca="false">IF(C109&gt;0,Cons_dia,0)</f>
        <v>2</v>
      </c>
      <c r="H109" s="48" t="n">
        <f aca="false">Fondo_occ+D109</f>
        <v>387.148711291308</v>
      </c>
      <c r="I109" s="37" t="n">
        <f aca="false">MAX(0,I108-L108-M108)</f>
        <v>5223.95034567791</v>
      </c>
      <c r="J109" s="48" t="n">
        <f aca="false">Hmax_ori*(I109/Vmod_ori)^(1/m_ori)</f>
        <v>3.04889373306972</v>
      </c>
      <c r="K109" s="37" t="n">
        <f aca="false">Espejo_ori*(I109/Vmod_ori)^((m_ori-1)/m_ori)</f>
        <v>4394.8506605289</v>
      </c>
      <c r="L109" s="41" t="n">
        <f aca="false">(Evap_dia+Infil_dia)/1000*K109</f>
        <v>26.3691039631734</v>
      </c>
      <c r="M109" s="41" t="n">
        <f aca="false">IF(I109&gt;0,Cons_dia,0)</f>
        <v>2</v>
      </c>
      <c r="N109" s="48" t="n">
        <f aca="false">Fondo_ori+J109</f>
        <v>386.14889373307</v>
      </c>
      <c r="O109" s="33" t="n">
        <f aca="false">Cota_casa</f>
        <v>383</v>
      </c>
    </row>
    <row r="110" customFormat="false" ht="15" hidden="false" customHeight="false" outlineLevel="0" collapsed="false">
      <c r="B110" s="25" t="n">
        <v>87</v>
      </c>
      <c r="C110" s="37" t="n">
        <f aca="false">MAX(0,C109-F109-G109)</f>
        <v>4806.2111197435</v>
      </c>
      <c r="D110" s="48" t="n">
        <f aca="false">Hmax_occ*(C110/Vmod_occ)^(1/m_occ)</f>
        <v>2.74224060147259</v>
      </c>
      <c r="E110" s="37" t="n">
        <f aca="false">Espejo_occ*(C110/Vmod_occ)^((m_occ-1)/m_occ)</f>
        <v>4337.82962551765</v>
      </c>
      <c r="F110" s="41" t="n">
        <f aca="false">(Evap_dia+Infil_dia)/1000*E110</f>
        <v>26.0269777531059</v>
      </c>
      <c r="G110" s="41" t="n">
        <f aca="false">IF(C110&gt;0,Cons_dia,0)</f>
        <v>2</v>
      </c>
      <c r="H110" s="48" t="n">
        <f aca="false">Fondo_occ+D110</f>
        <v>387.142240601473</v>
      </c>
      <c r="I110" s="37" t="n">
        <f aca="false">MAX(0,I109-L109-M109)</f>
        <v>5195.58124171474</v>
      </c>
      <c r="J110" s="48" t="n">
        <f aca="false">Hmax_ori*(I110/Vmod_ori)^(1/m_ori)</f>
        <v>3.04242792963474</v>
      </c>
      <c r="K110" s="37" t="n">
        <f aca="false">Espejo_ori*(I110/Vmod_ori)^((m_ori-1)/m_ori)</f>
        <v>4380.27331894704</v>
      </c>
      <c r="L110" s="41" t="n">
        <f aca="false">(Evap_dia+Infil_dia)/1000*K110</f>
        <v>26.2816399136822</v>
      </c>
      <c r="M110" s="41" t="n">
        <f aca="false">IF(I110&gt;0,Cons_dia,0)</f>
        <v>2</v>
      </c>
      <c r="N110" s="48" t="n">
        <f aca="false">Fondo_ori+J110</f>
        <v>386.142427929635</v>
      </c>
      <c r="O110" s="33" t="n">
        <f aca="false">Cota_casa</f>
        <v>383</v>
      </c>
    </row>
    <row r="111" customFormat="false" ht="15" hidden="false" customHeight="false" outlineLevel="0" collapsed="false">
      <c r="B111" s="25" t="n">
        <v>88</v>
      </c>
      <c r="C111" s="37" t="n">
        <f aca="false">MAX(0,C110-F110-G110)</f>
        <v>4778.1841419904</v>
      </c>
      <c r="D111" s="48" t="n">
        <f aca="false">Hmax_occ*(C111/Vmod_occ)^(1/m_occ)</f>
        <v>2.73576827944075</v>
      </c>
      <c r="E111" s="37" t="n">
        <f aca="false">Espejo_occ*(C111/Vmod_occ)^((m_occ-1)/m_occ)</f>
        <v>4322.73662952321</v>
      </c>
      <c r="F111" s="41" t="n">
        <f aca="false">(Evap_dia+Infil_dia)/1000*E111</f>
        <v>25.9364197771392</v>
      </c>
      <c r="G111" s="41" t="n">
        <f aca="false">IF(C111&gt;0,Cons_dia,0)</f>
        <v>2</v>
      </c>
      <c r="H111" s="48" t="n">
        <f aca="false">Fondo_occ+D111</f>
        <v>387.135768279441</v>
      </c>
      <c r="I111" s="37" t="n">
        <f aca="false">MAX(0,I110-L110-M110)</f>
        <v>5167.29960180106</v>
      </c>
      <c r="J111" s="48" t="n">
        <f aca="false">Hmax_ori*(I111/Vmod_ori)^(1/m_ori)</f>
        <v>3.0359605838096</v>
      </c>
      <c r="K111" s="37" t="n">
        <f aca="false">Espejo_ori*(I111/Vmod_ori)^((m_ori-1)/m_ori)</f>
        <v>4365.70999943224</v>
      </c>
      <c r="L111" s="41" t="n">
        <f aca="false">(Evap_dia+Infil_dia)/1000*K111</f>
        <v>26.1942599965934</v>
      </c>
      <c r="M111" s="41" t="n">
        <f aca="false">IF(I111&gt;0,Cons_dia,0)</f>
        <v>2</v>
      </c>
      <c r="N111" s="48" t="n">
        <f aca="false">Fondo_ori+J111</f>
        <v>386.13596058381</v>
      </c>
      <c r="O111" s="33" t="n">
        <f aca="false">Cota_casa</f>
        <v>383</v>
      </c>
    </row>
    <row r="112" customFormat="false" ht="15" hidden="false" customHeight="false" outlineLevel="0" collapsed="false">
      <c r="B112" s="25" t="n">
        <v>89</v>
      </c>
      <c r="C112" s="37" t="n">
        <f aca="false">MAX(0,C111-F111-G111)</f>
        <v>4750.24772221326</v>
      </c>
      <c r="D112" s="48" t="n">
        <f aca="false">Hmax_occ*(C112/Vmod_occ)^(1/m_occ)</f>
        <v>2.7292943152388</v>
      </c>
      <c r="E112" s="37" t="n">
        <f aca="false">Espejo_occ*(C112/Vmod_occ)^((m_occ-1)/m_occ)</f>
        <v>4307.65676198214</v>
      </c>
      <c r="F112" s="41" t="n">
        <f aca="false">(Evap_dia+Infil_dia)/1000*E112</f>
        <v>25.8459405718928</v>
      </c>
      <c r="G112" s="41" t="n">
        <f aca="false">IF(C112&gt;0,Cons_dia,0)</f>
        <v>2</v>
      </c>
      <c r="H112" s="48" t="n">
        <f aca="false">Fondo_occ+D112</f>
        <v>387.129294315239</v>
      </c>
      <c r="I112" s="37" t="n">
        <f aca="false">MAX(0,I111-L111-M111)</f>
        <v>5139.10534180447</v>
      </c>
      <c r="J112" s="48" t="n">
        <f aca="false">Hmax_ori*(I112/Vmod_ori)^(1/m_ori)</f>
        <v>3.02949168679698</v>
      </c>
      <c r="K112" s="37" t="n">
        <f aca="false">Espejo_ori*(I112/Vmod_ori)^((m_ori-1)/m_ori)</f>
        <v>4351.16071094596</v>
      </c>
      <c r="L112" s="41" t="n">
        <f aca="false">(Evap_dia+Infil_dia)/1000*K112</f>
        <v>26.1069642656758</v>
      </c>
      <c r="M112" s="41" t="n">
        <f aca="false">IF(I112&gt;0,Cons_dia,0)</f>
        <v>2</v>
      </c>
      <c r="N112" s="48" t="n">
        <f aca="false">Fondo_ori+J112</f>
        <v>386.129491686797</v>
      </c>
      <c r="O112" s="33" t="n">
        <f aca="false">Cota_casa</f>
        <v>383</v>
      </c>
    </row>
    <row r="113" customFormat="false" ht="15" hidden="false" customHeight="false" outlineLevel="0" collapsed="false">
      <c r="B113" s="25" t="n">
        <v>90</v>
      </c>
      <c r="C113" s="37" t="n">
        <f aca="false">MAX(0,C112-F112-G112)</f>
        <v>4722.40178164136</v>
      </c>
      <c r="D113" s="48" t="n">
        <f aca="false">Hmax_occ*(C113/Vmod_occ)^(1/m_occ)</f>
        <v>2.72281869880405</v>
      </c>
      <c r="E113" s="37" t="n">
        <f aca="false">Espejo_occ*(C113/Vmod_occ)^((m_occ-1)/m_occ)</f>
        <v>4292.59003351787</v>
      </c>
      <c r="F113" s="41" t="n">
        <f aca="false">(Evap_dia+Infil_dia)/1000*E113</f>
        <v>25.7555402011072</v>
      </c>
      <c r="G113" s="41" t="n">
        <f aca="false">IF(C113&gt;0,Cons_dia,0)</f>
        <v>2</v>
      </c>
      <c r="H113" s="48" t="n">
        <f aca="false">Fondo_occ+D113</f>
        <v>387.122818698804</v>
      </c>
      <c r="I113" s="37" t="n">
        <f aca="false">MAX(0,I112-L112-M112)</f>
        <v>5110.99837753879</v>
      </c>
      <c r="J113" s="48" t="n">
        <f aca="false">Hmax_ori*(I113/Vmod_ori)^(1/m_ori)</f>
        <v>3.02302122972712</v>
      </c>
      <c r="K113" s="37" t="n">
        <f aca="false">Espejo_ori*(I113/Vmod_ori)^((m_ori-1)/m_ori)</f>
        <v>4336.62546245842</v>
      </c>
      <c r="L113" s="41" t="n">
        <f aca="false">(Evap_dia+Infil_dia)/1000*K113</f>
        <v>26.0197527747505</v>
      </c>
      <c r="M113" s="41" t="n">
        <f aca="false">IF(I113&gt;0,Cons_dia,0)</f>
        <v>2</v>
      </c>
      <c r="N113" s="48" t="n">
        <f aca="false">Fondo_ori+J113</f>
        <v>386.123021229727</v>
      </c>
      <c r="O113" s="33" t="n">
        <f aca="false">Cota_casa</f>
        <v>383</v>
      </c>
    </row>
    <row r="114" customFormat="false" ht="15" hidden="false" customHeight="false" outlineLevel="0" collapsed="false">
      <c r="B114" s="25" t="n">
        <v>91</v>
      </c>
      <c r="C114" s="37" t="n">
        <f aca="false">MAX(0,C113-F113-G113)</f>
        <v>4694.64624144026</v>
      </c>
      <c r="D114" s="48" t="n">
        <f aca="false">Hmax_occ*(C114/Vmod_occ)^(1/m_occ)</f>
        <v>2.71634141998405</v>
      </c>
      <c r="E114" s="37" t="n">
        <f aca="false">Espejo_occ*(C114/Vmod_occ)^((m_occ-1)/m_occ)</f>
        <v>4277.53645476306</v>
      </c>
      <c r="F114" s="41" t="n">
        <f aca="false">(Evap_dia+Infil_dia)/1000*E114</f>
        <v>25.6652187285784</v>
      </c>
      <c r="G114" s="41" t="n">
        <f aca="false">IF(C114&gt;0,Cons_dia,0)</f>
        <v>2</v>
      </c>
      <c r="H114" s="48" t="n">
        <f aca="false">Fondo_occ+D114</f>
        <v>387.116341419984</v>
      </c>
      <c r="I114" s="37" t="n">
        <f aca="false">MAX(0,I113-L113-M113)</f>
        <v>5082.97862476404</v>
      </c>
      <c r="J114" s="48" t="n">
        <f aca="false">Hmax_ori*(I114/Vmod_ori)^(1/m_ori)</f>
        <v>3.01654920365703</v>
      </c>
      <c r="K114" s="37" t="n">
        <f aca="false">Espejo_ori*(I114/Vmod_ori)^((m_ori-1)/m_ori)</f>
        <v>4322.10426294844</v>
      </c>
      <c r="L114" s="41" t="n">
        <f aca="false">(Evap_dia+Infil_dia)/1000*K114</f>
        <v>25.9326255776907</v>
      </c>
      <c r="M114" s="41" t="n">
        <f aca="false">IF(I114&gt;0,Cons_dia,0)</f>
        <v>2</v>
      </c>
      <c r="N114" s="48" t="n">
        <f aca="false">Fondo_ori+J114</f>
        <v>386.116549203657</v>
      </c>
      <c r="O114" s="33" t="n">
        <f aca="false">Cota_casa</f>
        <v>383</v>
      </c>
    </row>
    <row r="115" customFormat="false" ht="15" hidden="false" customHeight="false" outlineLevel="0" collapsed="false">
      <c r="B115" s="25" t="n">
        <v>92</v>
      </c>
      <c r="C115" s="37" t="n">
        <f aca="false">MAX(0,C114-F114-G114)</f>
        <v>4666.98102271168</v>
      </c>
      <c r="D115" s="48" t="n">
        <f aca="false">Hmax_occ*(C115/Vmod_occ)^(1/m_occ)</f>
        <v>2.70986246853544</v>
      </c>
      <c r="E115" s="37" t="n">
        <f aca="false">Espejo_occ*(C115/Vmod_occ)^((m_occ-1)/m_occ)</f>
        <v>4262.4960363594</v>
      </c>
      <c r="F115" s="41" t="n">
        <f aca="false">(Evap_dia+Infil_dia)/1000*E115</f>
        <v>25.5749762181564</v>
      </c>
      <c r="G115" s="41" t="n">
        <f aca="false">IF(C115&gt;0,Cons_dia,0)</f>
        <v>2</v>
      </c>
      <c r="H115" s="48" t="n">
        <f aca="false">Fondo_occ+D115</f>
        <v>387.109862468535</v>
      </c>
      <c r="I115" s="37" t="n">
        <f aca="false">MAX(0,I114-L114-M114)</f>
        <v>5055.04599918635</v>
      </c>
      <c r="J115" s="48" t="n">
        <f aca="false">Hmax_ori*(I115/Vmod_ori)^(1/m_ori)</f>
        <v>3.01007559956969</v>
      </c>
      <c r="K115" s="37" t="n">
        <f aca="false">Espejo_ori*(I115/Vmod_ori)^((m_ori-1)/m_ori)</f>
        <v>4307.59712140339</v>
      </c>
      <c r="L115" s="41" t="n">
        <f aca="false">(Evap_dia+Infil_dia)/1000*K115</f>
        <v>25.8455827284203</v>
      </c>
      <c r="M115" s="41" t="n">
        <f aca="false">IF(I115&gt;0,Cons_dia,0)</f>
        <v>2</v>
      </c>
      <c r="N115" s="48" t="n">
        <f aca="false">Fondo_ori+J115</f>
        <v>386.11007559957</v>
      </c>
      <c r="O115" s="33" t="n">
        <f aca="false">Cota_casa</f>
        <v>383</v>
      </c>
    </row>
    <row r="116" customFormat="false" ht="15" hidden="false" customHeight="false" outlineLevel="0" collapsed="false">
      <c r="B116" s="25" t="n">
        <v>93</v>
      </c>
      <c r="C116" s="37" t="n">
        <f aca="false">MAX(0,C115-F115-G115)</f>
        <v>4639.40604649352</v>
      </c>
      <c r="D116" s="48" t="n">
        <f aca="false">Hmax_occ*(C116/Vmod_occ)^(1/m_occ)</f>
        <v>2.70338183412293</v>
      </c>
      <c r="E116" s="37" t="n">
        <f aca="false">Espejo_occ*(C116/Vmod_occ)^((m_occ-1)/m_occ)</f>
        <v>4247.46878895737</v>
      </c>
      <c r="F116" s="41" t="n">
        <f aca="false">(Evap_dia+Infil_dia)/1000*E116</f>
        <v>25.4848127337442</v>
      </c>
      <c r="G116" s="41" t="n">
        <f aca="false">IF(C116&gt;0,Cons_dia,0)</f>
        <v>2</v>
      </c>
      <c r="H116" s="48" t="n">
        <f aca="false">Fondo_occ+D116</f>
        <v>387.103381834123</v>
      </c>
      <c r="I116" s="37" t="n">
        <f aca="false">MAX(0,I115-L115-M115)</f>
        <v>5027.20041645793</v>
      </c>
      <c r="J116" s="48" t="n">
        <f aca="false">Hmax_ori*(I116/Vmod_ori)^(1/m_ori)</f>
        <v>3.00360040837328</v>
      </c>
      <c r="K116" s="37" t="n">
        <f aca="false">Espejo_ori*(I116/Vmod_ori)^((m_ori-1)/m_ori)</f>
        <v>4293.10404681902</v>
      </c>
      <c r="L116" s="41" t="n">
        <f aca="false">(Evap_dia+Infil_dia)/1000*K116</f>
        <v>25.7586242809141</v>
      </c>
      <c r="M116" s="41" t="n">
        <f aca="false">IF(I116&gt;0,Cons_dia,0)</f>
        <v>2</v>
      </c>
      <c r="N116" s="48" t="n">
        <f aca="false">Fondo_ori+J116</f>
        <v>386.103600408373</v>
      </c>
      <c r="O116" s="33" t="n">
        <f aca="false">Cota_casa</f>
        <v>383</v>
      </c>
    </row>
    <row r="117" customFormat="false" ht="15" hidden="false" customHeight="false" outlineLevel="0" collapsed="false">
      <c r="B117" s="25" t="n">
        <v>94</v>
      </c>
      <c r="C117" s="37" t="n">
        <f aca="false">MAX(0,C116-F116-G116)</f>
        <v>4611.92123375978</v>
      </c>
      <c r="D117" s="48" t="n">
        <f aca="false">Hmax_occ*(C117/Vmod_occ)^(1/m_occ)</f>
        <v>2.69689950631818</v>
      </c>
      <c r="E117" s="37" t="n">
        <f aca="false">Espejo_occ*(C117/Vmod_occ)^((m_occ-1)/m_occ)</f>
        <v>4232.45472321607</v>
      </c>
      <c r="F117" s="41" t="n">
        <f aca="false">(Evap_dia+Infil_dia)/1000*E117</f>
        <v>25.3947283392964</v>
      </c>
      <c r="G117" s="41" t="n">
        <f aca="false">IF(C117&gt;0,Cons_dia,0)</f>
        <v>2</v>
      </c>
      <c r="H117" s="48" t="n">
        <f aca="false">Fondo_occ+D117</f>
        <v>387.096899506318</v>
      </c>
      <c r="I117" s="37" t="n">
        <f aca="false">MAX(0,I116-L116-M116)</f>
        <v>4999.44179217701</v>
      </c>
      <c r="J117" s="48" t="n">
        <f aca="false">Hmax_ori*(I117/Vmod_ori)^(1/m_ori)</f>
        <v>2.9971236209003</v>
      </c>
      <c r="K117" s="37" t="n">
        <f aca="false">Espejo_ori*(I117/Vmod_ori)^((m_ori-1)/m_ori)</f>
        <v>4278.62504819938</v>
      </c>
      <c r="L117" s="41" t="n">
        <f aca="false">(Evap_dia+Infil_dia)/1000*K117</f>
        <v>25.6717502891963</v>
      </c>
      <c r="M117" s="41" t="n">
        <f aca="false">IF(I117&gt;0,Cons_dia,0)</f>
        <v>2</v>
      </c>
      <c r="N117" s="48" t="n">
        <f aca="false">Fondo_ori+J117</f>
        <v>386.0971236209</v>
      </c>
      <c r="O117" s="33" t="n">
        <f aca="false">Cota_casa</f>
        <v>383</v>
      </c>
    </row>
    <row r="118" customFormat="false" ht="15" hidden="false" customHeight="false" outlineLevel="0" collapsed="false">
      <c r="B118" s="25" t="n">
        <v>95</v>
      </c>
      <c r="C118" s="37" t="n">
        <f aca="false">MAX(0,C117-F117-G117)</f>
        <v>4584.52650542048</v>
      </c>
      <c r="D118" s="48" t="n">
        <f aca="false">Hmax_occ*(C118/Vmod_occ)^(1/m_occ)</f>
        <v>2.69041547459869</v>
      </c>
      <c r="E118" s="37" t="n">
        <f aca="false">Espejo_occ*(C118/Vmod_occ)^((m_occ-1)/m_occ)</f>
        <v>4217.45384980295</v>
      </c>
      <c r="F118" s="41" t="n">
        <f aca="false">(Evap_dia+Infil_dia)/1000*E118</f>
        <v>25.3047230988177</v>
      </c>
      <c r="G118" s="41" t="n">
        <f aca="false">IF(C118&gt;0,Cons_dia,0)</f>
        <v>2</v>
      </c>
      <c r="H118" s="48" t="n">
        <f aca="false">Fondo_occ+D118</f>
        <v>387.090415474599</v>
      </c>
      <c r="I118" s="37" t="n">
        <f aca="false">MAX(0,I117-L117-M117)</f>
        <v>4971.77004188782</v>
      </c>
      <c r="J118" s="48" t="n">
        <f aca="false">Hmax_ori*(I118/Vmod_ori)^(1/m_ori)</f>
        <v>2.99064522790678</v>
      </c>
      <c r="K118" s="37" t="n">
        <f aca="false">Espejo_ori*(I118/Vmod_ori)^((m_ori-1)/m_ori)</f>
        <v>4264.16013455668</v>
      </c>
      <c r="L118" s="41" t="n">
        <f aca="false">(Evap_dia+Infil_dia)/1000*K118</f>
        <v>25.5849608073401</v>
      </c>
      <c r="M118" s="41" t="n">
        <f aca="false">IF(I118&gt;0,Cons_dia,0)</f>
        <v>2</v>
      </c>
      <c r="N118" s="48" t="n">
        <f aca="false">Fondo_ori+J118</f>
        <v>386.090645227907</v>
      </c>
      <c r="O118" s="33" t="n">
        <f aca="false">Cota_casa</f>
        <v>383</v>
      </c>
    </row>
    <row r="119" customFormat="false" ht="15" hidden="false" customHeight="false" outlineLevel="0" collapsed="false">
      <c r="B119" s="25" t="n">
        <v>96</v>
      </c>
      <c r="C119" s="37" t="n">
        <f aca="false">MAX(0,C118-F118-G118)</f>
        <v>4557.22178232166</v>
      </c>
      <c r="D119" s="48" t="n">
        <f aca="false">Hmax_occ*(C119/Vmod_occ)^(1/m_occ)</f>
        <v>2.6839297283467</v>
      </c>
      <c r="E119" s="37" t="n">
        <f aca="false">Espejo_occ*(C119/Vmod_occ)^((m_occ-1)/m_occ)</f>
        <v>4202.46617939362</v>
      </c>
      <c r="F119" s="41" t="n">
        <f aca="false">(Evap_dia+Infil_dia)/1000*E119</f>
        <v>25.2147970763617</v>
      </c>
      <c r="G119" s="41" t="n">
        <f aca="false">IF(C119&gt;0,Cons_dia,0)</f>
        <v>2</v>
      </c>
      <c r="H119" s="48" t="n">
        <f aca="false">Fondo_occ+D119</f>
        <v>387.083929728347</v>
      </c>
      <c r="I119" s="37" t="n">
        <f aca="false">MAX(0,I118-L118-M118)</f>
        <v>4944.18508108048</v>
      </c>
      <c r="J119" s="48" t="n">
        <f aca="false">Hmax_ori*(I119/Vmod_ori)^(1/m_ori)</f>
        <v>2.98416522007143</v>
      </c>
      <c r="K119" s="37" t="n">
        <f aca="false">Espejo_ori*(I119/Vmod_ori)^((m_ori-1)/m_ori)</f>
        <v>4249.70931491114</v>
      </c>
      <c r="L119" s="41" t="n">
        <f aca="false">(Evap_dia+Infil_dia)/1000*K119</f>
        <v>25.4982558894669</v>
      </c>
      <c r="M119" s="41" t="n">
        <f aca="false">IF(I119&gt;0,Cons_dia,0)</f>
        <v>2</v>
      </c>
      <c r="N119" s="48" t="n">
        <f aca="false">Fondo_ori+J119</f>
        <v>386.084165220071</v>
      </c>
      <c r="O119" s="33" t="n">
        <f aca="false">Cota_casa</f>
        <v>383</v>
      </c>
    </row>
    <row r="120" customFormat="false" ht="15" hidden="false" customHeight="false" outlineLevel="0" collapsed="false">
      <c r="B120" s="25" t="n">
        <v>97</v>
      </c>
      <c r="C120" s="37" t="n">
        <f aca="false">MAX(0,C119-F119-G119)</f>
        <v>4530.0069852453</v>
      </c>
      <c r="D120" s="48" t="n">
        <f aca="false">Hmax_occ*(C120/Vmod_occ)^(1/m_occ)</f>
        <v>2.677442256848</v>
      </c>
      <c r="E120" s="37" t="n">
        <f aca="false">Espejo_occ*(C120/Vmod_occ)^((m_occ-1)/m_occ)</f>
        <v>4187.49172267159</v>
      </c>
      <c r="F120" s="41" t="n">
        <f aca="false">(Evap_dia+Infil_dia)/1000*E120</f>
        <v>25.1249503360295</v>
      </c>
      <c r="G120" s="41" t="n">
        <f aca="false">IF(C120&gt;0,Cons_dia,0)</f>
        <v>2</v>
      </c>
      <c r="H120" s="48" t="n">
        <f aca="false">Fondo_occ+D120</f>
        <v>387.077442256848</v>
      </c>
      <c r="I120" s="37" t="n">
        <f aca="false">MAX(0,I119-L119-M119)</f>
        <v>4916.68682519101</v>
      </c>
      <c r="J120" s="48" t="n">
        <f aca="false">Hmax_ori*(I120/Vmod_ori)^(1/m_ori)</f>
        <v>2.97768358799478</v>
      </c>
      <c r="K120" s="37" t="n">
        <f aca="false">Espejo_ori*(I120/Vmod_ori)^((m_ori-1)/m_ori)</f>
        <v>4235.27259829094</v>
      </c>
      <c r="L120" s="41" t="n">
        <f aca="false">(Evap_dia+Infil_dia)/1000*K120</f>
        <v>25.4116355897456</v>
      </c>
      <c r="M120" s="41" t="n">
        <f aca="false">IF(I120&gt;0,Cons_dia,0)</f>
        <v>2</v>
      </c>
      <c r="N120" s="48" t="n">
        <f aca="false">Fondo_ori+J120</f>
        <v>386.077683587995</v>
      </c>
      <c r="O120" s="33" t="n">
        <f aca="false">Cota_casa</f>
        <v>383</v>
      </c>
    </row>
    <row r="121" customFormat="false" ht="15" hidden="false" customHeight="false" outlineLevel="0" collapsed="false">
      <c r="B121" s="25" t="n">
        <v>98</v>
      </c>
      <c r="C121" s="37" t="n">
        <f aca="false">MAX(0,C120-F120-G120)</f>
        <v>4502.88203490927</v>
      </c>
      <c r="D121" s="48" t="n">
        <f aca="false">Hmax_occ*(C121/Vmod_occ)^(1/m_occ)</f>
        <v>2.6709530492908</v>
      </c>
      <c r="E121" s="37" t="n">
        <f aca="false">Espejo_occ*(C121/Vmod_occ)^((m_occ-1)/m_occ)</f>
        <v>4172.53049032802</v>
      </c>
      <c r="F121" s="41" t="n">
        <f aca="false">(Evap_dia+Infil_dia)/1000*E121</f>
        <v>25.0351829419681</v>
      </c>
      <c r="G121" s="41" t="n">
        <f aca="false">IF(C121&gt;0,Cons_dia,0)</f>
        <v>2</v>
      </c>
      <c r="H121" s="48" t="n">
        <f aca="false">Fondo_occ+D121</f>
        <v>387.070953049291</v>
      </c>
      <c r="I121" s="37" t="n">
        <f aca="false">MAX(0,I120-L120-M120)</f>
        <v>4889.27518960126</v>
      </c>
      <c r="J121" s="48" t="n">
        <f aca="false">Hmax_ori*(I121/Vmod_ori)^(1/m_ori)</f>
        <v>2.97120032219831</v>
      </c>
      <c r="K121" s="37" t="n">
        <f aca="false">Espejo_ori*(I121/Vmod_ori)^((m_ori-1)/m_ori)</f>
        <v>4220.84999373199</v>
      </c>
      <c r="L121" s="41" t="n">
        <f aca="false">(Evap_dia+Infil_dia)/1000*K121</f>
        <v>25.325099962392</v>
      </c>
      <c r="M121" s="41" t="n">
        <f aca="false">IF(I121&gt;0,Cons_dia,0)</f>
        <v>2</v>
      </c>
      <c r="N121" s="48" t="n">
        <f aca="false">Fondo_ori+J121</f>
        <v>386.071200322198</v>
      </c>
      <c r="O121" s="33" t="n">
        <f aca="false">Cota_casa</f>
        <v>383</v>
      </c>
    </row>
    <row r="122" customFormat="false" ht="15" hidden="false" customHeight="false" outlineLevel="0" collapsed="false">
      <c r="B122" s="25" t="n">
        <v>99</v>
      </c>
      <c r="C122" s="37" t="n">
        <f aca="false">MAX(0,C121-F121-G121)</f>
        <v>4475.8468519673</v>
      </c>
      <c r="D122" s="48" t="n">
        <f aca="false">Hmax_occ*(C122/Vmod_occ)^(1/m_occ)</f>
        <v>2.66446209476455</v>
      </c>
      <c r="E122" s="37" t="n">
        <f aca="false">Espejo_occ*(C122/Vmod_occ)^((m_occ-1)/m_occ)</f>
        <v>4157.58249306151</v>
      </c>
      <c r="F122" s="41" t="n">
        <f aca="false">(Evap_dia+Infil_dia)/1000*E122</f>
        <v>24.9454949583691</v>
      </c>
      <c r="G122" s="41" t="n">
        <f aca="false">IF(C122&gt;0,Cons_dia,0)</f>
        <v>2</v>
      </c>
      <c r="H122" s="48" t="n">
        <f aca="false">Fondo_occ+D122</f>
        <v>387.064462094765</v>
      </c>
      <c r="I122" s="37" t="n">
        <f aca="false">MAX(0,I121-L121-M121)</f>
        <v>4861.95008963887</v>
      </c>
      <c r="J122" s="48" t="n">
        <f aca="false">Hmax_ori*(I122/Vmod_ori)^(1/m_ori)</f>
        <v>2.96471541312358</v>
      </c>
      <c r="K122" s="37" t="n">
        <f aca="false">Espejo_ori*(I122/Vmod_ori)^((m_ori-1)/m_ori)</f>
        <v>4206.44151027789</v>
      </c>
      <c r="L122" s="41" t="n">
        <f aca="false">(Evap_dia+Infil_dia)/1000*K122</f>
        <v>25.2386490616674</v>
      </c>
      <c r="M122" s="41" t="n">
        <f aca="false">IF(I122&gt;0,Cons_dia,0)</f>
        <v>2</v>
      </c>
      <c r="N122" s="48" t="n">
        <f aca="false">Fondo_ori+J122</f>
        <v>386.064715413124</v>
      </c>
      <c r="O122" s="33" t="n">
        <f aca="false">Cota_casa</f>
        <v>383</v>
      </c>
    </row>
    <row r="123" customFormat="false" ht="15" hidden="false" customHeight="false" outlineLevel="0" collapsed="false">
      <c r="B123" s="25" t="n">
        <v>100</v>
      </c>
      <c r="C123" s="37" t="n">
        <f aca="false">MAX(0,C122-F122-G122)</f>
        <v>4448.90135700894</v>
      </c>
      <c r="D123" s="48" t="n">
        <f aca="false">Hmax_occ*(C123/Vmod_occ)^(1/m_occ)</f>
        <v>2.65796938225872</v>
      </c>
      <c r="E123" s="37" t="n">
        <f aca="false">Espejo_occ*(C123/Vmod_occ)^((m_occ-1)/m_occ)</f>
        <v>4142.64774157783</v>
      </c>
      <c r="F123" s="41" t="n">
        <f aca="false">(Evap_dia+Infil_dia)/1000*E123</f>
        <v>24.855886449467</v>
      </c>
      <c r="G123" s="41" t="n">
        <f aca="false">IF(C123&gt;0,Cons_dia,0)</f>
        <v>2</v>
      </c>
      <c r="H123" s="48" t="n">
        <f aca="false">Fondo_occ+D123</f>
        <v>387.057969382259</v>
      </c>
      <c r="I123" s="37" t="n">
        <f aca="false">MAX(0,I122-L122-M122)</f>
        <v>4834.71144057721</v>
      </c>
      <c r="J123" s="48" t="n">
        <f aca="false">Hmax_ori*(I123/Vmod_ori)^(1/m_ori)</f>
        <v>2.95822885113134</v>
      </c>
      <c r="K123" s="37" t="n">
        <f aca="false">Espejo_ori*(I123/Vmod_ori)^((m_ori-1)/m_ori)</f>
        <v>4192.04715697973</v>
      </c>
      <c r="L123" s="41" t="n">
        <f aca="false">(Evap_dia+Infil_dia)/1000*K123</f>
        <v>25.1522829418784</v>
      </c>
      <c r="M123" s="41" t="n">
        <f aca="false">IF(I123&gt;0,Cons_dia,0)</f>
        <v>2</v>
      </c>
      <c r="N123" s="48" t="n">
        <f aca="false">Fondo_ori+J123</f>
        <v>386.058228851131</v>
      </c>
      <c r="O123" s="33" t="n">
        <f aca="false">Cota_casa</f>
        <v>383</v>
      </c>
    </row>
    <row r="124" customFormat="false" ht="15" hidden="false" customHeight="false" outlineLevel="0" collapsed="false">
      <c r="B124" s="25" t="n">
        <v>101</v>
      </c>
      <c r="C124" s="37" t="n">
        <f aca="false">MAX(0,C123-F123-G123)</f>
        <v>4422.04547055947</v>
      </c>
      <c r="D124" s="48" t="n">
        <f aca="false">Hmax_occ*(C124/Vmod_occ)^(1/m_occ)</f>
        <v>2.65147490066163</v>
      </c>
      <c r="E124" s="37" t="n">
        <f aca="false">Espejo_occ*(C124/Vmod_occ)^((m_occ-1)/m_occ)</f>
        <v>4127.72624658965</v>
      </c>
      <c r="F124" s="41" t="n">
        <f aca="false">(Evap_dia+Infil_dia)/1000*E124</f>
        <v>24.7663574795379</v>
      </c>
      <c r="G124" s="41" t="n">
        <f aca="false">IF(C124&gt;0,Cons_dia,0)</f>
        <v>2</v>
      </c>
      <c r="H124" s="48" t="n">
        <f aca="false">Fondo_occ+D124</f>
        <v>387.051474900662</v>
      </c>
      <c r="I124" s="37" t="n">
        <f aca="false">MAX(0,I123-L123-M123)</f>
        <v>4807.55915763533</v>
      </c>
      <c r="J124" s="48" t="n">
        <f aca="false">Hmax_ori*(I124/Vmod_ori)^(1/m_ori)</f>
        <v>2.95174062650061</v>
      </c>
      <c r="K124" s="37" t="n">
        <f aca="false">Espejo_ori*(I124/Vmod_ori)^((m_ori-1)/m_ori)</f>
        <v>4177.66694289596</v>
      </c>
      <c r="L124" s="41" t="n">
        <f aca="false">(Evap_dia+Infil_dia)/1000*K124</f>
        <v>25.0660016573757</v>
      </c>
      <c r="M124" s="41" t="n">
        <f aca="false">IF(I124&gt;0,Cons_dia,0)</f>
        <v>2</v>
      </c>
      <c r="N124" s="48" t="n">
        <f aca="false">Fondo_ori+J124</f>
        <v>386.051740626501</v>
      </c>
      <c r="O124" s="33" t="n">
        <f aca="false">Cota_casa</f>
        <v>383</v>
      </c>
    </row>
    <row r="125" customFormat="false" ht="15" hidden="false" customHeight="false" outlineLevel="0" collapsed="false">
      <c r="B125" s="25" t="n">
        <v>102</v>
      </c>
      <c r="C125" s="37" t="n">
        <f aca="false">MAX(0,C124-F124-G124)</f>
        <v>4395.27911307993</v>
      </c>
      <c r="D125" s="48" t="n">
        <f aca="false">Hmax_occ*(C125/Vmod_occ)^(1/m_occ)</f>
        <v>2.64497863875916</v>
      </c>
      <c r="E125" s="37" t="n">
        <f aca="false">Espejo_occ*(C125/Vmod_occ)^((m_occ-1)/m_occ)</f>
        <v>4112.81801881628</v>
      </c>
      <c r="F125" s="41" t="n">
        <f aca="false">(Evap_dia+Infil_dia)/1000*E125</f>
        <v>24.6769081128977</v>
      </c>
      <c r="G125" s="41" t="n">
        <f aca="false">IF(C125&gt;0,Cons_dia,0)</f>
        <v>2</v>
      </c>
      <c r="H125" s="48" t="n">
        <f aca="false">Fondo_occ+D125</f>
        <v>387.044978638759</v>
      </c>
      <c r="I125" s="37" t="n">
        <f aca="false">MAX(0,I124-L124-M124)</f>
        <v>4780.49315597795</v>
      </c>
      <c r="J125" s="48" t="n">
        <f aca="false">Hmax_ori*(I125/Vmod_ori)^(1/m_ori)</f>
        <v>2.9452507294278</v>
      </c>
      <c r="K125" s="37" t="n">
        <f aca="false">Espejo_ori*(I125/Vmod_ori)^((m_ori-1)/m_ori)</f>
        <v>4163.30087709228</v>
      </c>
      <c r="L125" s="41" t="n">
        <f aca="false">(Evap_dia+Infil_dia)/1000*K125</f>
        <v>24.9798052625537</v>
      </c>
      <c r="M125" s="41" t="n">
        <f aca="false">IF(I125&gt;0,Cons_dia,0)</f>
        <v>2</v>
      </c>
      <c r="N125" s="48" t="n">
        <f aca="false">Fondo_ori+J125</f>
        <v>386.045250729428</v>
      </c>
      <c r="O125" s="33" t="n">
        <f aca="false">Cota_casa</f>
        <v>383</v>
      </c>
    </row>
    <row r="126" customFormat="false" ht="15" hidden="false" customHeight="false" outlineLevel="0" collapsed="false">
      <c r="B126" s="25" t="n">
        <v>103</v>
      </c>
      <c r="C126" s="37" t="n">
        <f aca="false">MAX(0,C125-F125-G125)</f>
        <v>4368.60220496703</v>
      </c>
      <c r="D126" s="48" t="n">
        <f aca="false">Hmax_occ*(C126/Vmod_occ)^(1/m_occ)</f>
        <v>2.63848058523354</v>
      </c>
      <c r="E126" s="37" t="n">
        <f aca="false">Espejo_occ*(C126/Vmod_occ)^((m_occ-1)/m_occ)</f>
        <v>4097.92306898343</v>
      </c>
      <c r="F126" s="41" t="n">
        <f aca="false">(Evap_dia+Infil_dia)/1000*E126</f>
        <v>24.5875384139006</v>
      </c>
      <c r="G126" s="41" t="n">
        <f aca="false">IF(C126&gt;0,Cons_dia,0)</f>
        <v>2</v>
      </c>
      <c r="H126" s="48" t="n">
        <f aca="false">Fondo_occ+D126</f>
        <v>387.038480585234</v>
      </c>
      <c r="I126" s="37" t="n">
        <f aca="false">MAX(0,I125-L125-M125)</f>
        <v>4753.5133507154</v>
      </c>
      <c r="J126" s="48" t="n">
        <f aca="false">Hmax_ori*(I126/Vmod_ori)^(1/m_ori)</f>
        <v>2.93875915002575</v>
      </c>
      <c r="K126" s="37" t="n">
        <f aca="false">Espejo_ori*(I126/Vmod_ori)^((m_ori-1)/m_ori)</f>
        <v>4148.94896864146</v>
      </c>
      <c r="L126" s="41" t="n">
        <f aca="false">(Evap_dia+Infil_dia)/1000*K126</f>
        <v>24.8936938118488</v>
      </c>
      <c r="M126" s="41" t="n">
        <f aca="false">IF(I126&gt;0,Cons_dia,0)</f>
        <v>2</v>
      </c>
      <c r="N126" s="48" t="n">
        <f aca="false">Fondo_ori+J126</f>
        <v>386.038759150026</v>
      </c>
      <c r="O126" s="33" t="n">
        <f aca="false">Cota_casa</f>
        <v>383</v>
      </c>
    </row>
    <row r="127" customFormat="false" ht="15" hidden="false" customHeight="false" outlineLevel="0" collapsed="false">
      <c r="B127" s="25" t="n">
        <v>104</v>
      </c>
      <c r="C127" s="37" t="n">
        <f aca="false">MAX(0,C126-F126-G126)</f>
        <v>4342.01466655313</v>
      </c>
      <c r="D127" s="48" t="n">
        <f aca="false">Hmax_occ*(C127/Vmod_occ)^(1/m_occ)</f>
        <v>2.63198072866205</v>
      </c>
      <c r="E127" s="37" t="n">
        <f aca="false">Espejo_occ*(C127/Vmod_occ)^((m_occ-1)/m_occ)</f>
        <v>4083.04140782288</v>
      </c>
      <c r="F127" s="41" t="n">
        <f aca="false">(Evap_dia+Infil_dia)/1000*E127</f>
        <v>24.4982484469373</v>
      </c>
      <c r="G127" s="41" t="n">
        <f aca="false">IF(C127&gt;0,Cons_dia,0)</f>
        <v>2</v>
      </c>
      <c r="H127" s="48" t="n">
        <f aca="false">Fondo_occ+D127</f>
        <v>387.031980728662</v>
      </c>
      <c r="I127" s="37" t="n">
        <f aca="false">MAX(0,I126-L126-M126)</f>
        <v>4726.61965690355</v>
      </c>
      <c r="J127" s="48" t="n">
        <f aca="false">Hmax_ori*(I127/Vmod_ori)^(1/m_ori)</f>
        <v>2.9322658783228</v>
      </c>
      <c r="K127" s="37" t="n">
        <f aca="false">Espejo_ori*(I127/Vmod_ori)^((m_ori-1)/m_ori)</f>
        <v>4134.61122662321</v>
      </c>
      <c r="L127" s="41" t="n">
        <f aca="false">(Evap_dia+Infil_dia)/1000*K127</f>
        <v>24.8076673597393</v>
      </c>
      <c r="M127" s="41" t="n">
        <f aca="false">IF(I127&gt;0,Cons_dia,0)</f>
        <v>2</v>
      </c>
      <c r="N127" s="48" t="n">
        <f aca="false">Fondo_ori+J127</f>
        <v>386.032265878323</v>
      </c>
      <c r="O127" s="33" t="n">
        <f aca="false">Cota_casa</f>
        <v>383</v>
      </c>
    </row>
    <row r="128" customFormat="false" ht="15" hidden="false" customHeight="false" outlineLevel="0" collapsed="false">
      <c r="B128" s="25" t="n">
        <v>105</v>
      </c>
      <c r="C128" s="37" t="n">
        <f aca="false">MAX(0,C127-F127-G127)</f>
        <v>4315.51641810619</v>
      </c>
      <c r="D128" s="48" t="n">
        <f aca="false">Hmax_occ*(C128/Vmod_occ)^(1/m_occ)</f>
        <v>2.62547905751576</v>
      </c>
      <c r="E128" s="37" t="n">
        <f aca="false">Espejo_occ*(C128/Vmod_occ)^((m_occ-1)/m_occ)</f>
        <v>4068.17304607226</v>
      </c>
      <c r="F128" s="41" t="n">
        <f aca="false">(Evap_dia+Infil_dia)/1000*E128</f>
        <v>24.4090382764336</v>
      </c>
      <c r="G128" s="41" t="n">
        <f aca="false">IF(C128&gt;0,Cons_dia,0)</f>
        <v>2</v>
      </c>
      <c r="H128" s="48" t="n">
        <f aca="false">Fondo_occ+D128</f>
        <v>387.025479057516</v>
      </c>
      <c r="I128" s="37" t="n">
        <f aca="false">MAX(0,I127-L127-M127)</f>
        <v>4699.81198954381</v>
      </c>
      <c r="J128" s="48" t="n">
        <f aca="false">Hmax_ori*(I128/Vmod_ori)^(1/m_ori)</f>
        <v>2.92577090426182</v>
      </c>
      <c r="K128" s="37" t="n">
        <f aca="false">Espejo_ori*(I128/Vmod_ori)^((m_ori-1)/m_ori)</f>
        <v>4120.28766012402</v>
      </c>
      <c r="L128" s="41" t="n">
        <f aca="false">(Evap_dia+Infil_dia)/1000*K128</f>
        <v>24.7217259607441</v>
      </c>
      <c r="M128" s="41" t="n">
        <f aca="false">IF(I128&gt;0,Cons_dia,0)</f>
        <v>2</v>
      </c>
      <c r="N128" s="48" t="n">
        <f aca="false">Fondo_ori+J128</f>
        <v>386.025770904262</v>
      </c>
      <c r="O128" s="33" t="n">
        <f aca="false">Cota_casa</f>
        <v>383</v>
      </c>
    </row>
    <row r="129" customFormat="false" ht="15" hidden="false" customHeight="false" outlineLevel="0" collapsed="false">
      <c r="B129" s="25" t="n">
        <v>106</v>
      </c>
      <c r="C129" s="37" t="n">
        <f aca="false">MAX(0,C128-F128-G128)</f>
        <v>4289.10737982976</v>
      </c>
      <c r="D129" s="48" t="n">
        <f aca="false">Hmax_occ*(C129/Vmod_occ)^(1/m_occ)</f>
        <v>2.6189755601582</v>
      </c>
      <c r="E129" s="37" t="n">
        <f aca="false">Espejo_occ*(C129/Vmod_occ)^((m_occ-1)/m_occ)</f>
        <v>4053.31799447469</v>
      </c>
      <c r="F129" s="41" t="n">
        <f aca="false">(Evap_dia+Infil_dia)/1000*E129</f>
        <v>24.3199079668481</v>
      </c>
      <c r="G129" s="41" t="n">
        <f aca="false">IF(C129&gt;0,Cons_dia,0)</f>
        <v>2</v>
      </c>
      <c r="H129" s="48" t="n">
        <f aca="false">Fondo_occ+D129</f>
        <v>387.018975560158</v>
      </c>
      <c r="I129" s="37" t="n">
        <f aca="false">MAX(0,I128-L128-M128)</f>
        <v>4673.09026358307</v>
      </c>
      <c r="J129" s="48" t="n">
        <f aca="false">Hmax_ori*(I129/Vmod_ori)^(1/m_ori)</f>
        <v>2.91927421769929</v>
      </c>
      <c r="K129" s="37" t="n">
        <f aca="false">Espejo_ori*(I129/Vmod_ori)^((m_ori-1)/m_ori)</f>
        <v>4105.97827823698</v>
      </c>
      <c r="L129" s="41" t="n">
        <f aca="false">(Evap_dia+Infil_dia)/1000*K129</f>
        <v>24.6358696694219</v>
      </c>
      <c r="M129" s="41" t="n">
        <f aca="false">IF(I129&gt;0,Cons_dia,0)</f>
        <v>2</v>
      </c>
      <c r="N129" s="48" t="n">
        <f aca="false">Fondo_ori+J129</f>
        <v>386.019274217699</v>
      </c>
      <c r="O129" s="33" t="n">
        <f aca="false">Cota_casa</f>
        <v>383</v>
      </c>
    </row>
    <row r="130" customFormat="false" ht="15" hidden="false" customHeight="false" outlineLevel="0" collapsed="false">
      <c r="B130" s="25" t="n">
        <v>107</v>
      </c>
      <c r="C130" s="37" t="n">
        <f aca="false">MAX(0,C129-F129-G129)</f>
        <v>4262.78747186291</v>
      </c>
      <c r="D130" s="48" t="n">
        <f aca="false">Hmax_occ*(C130/Vmod_occ)^(1/m_occ)</f>
        <v>2.61247022484401</v>
      </c>
      <c r="E130" s="37" t="n">
        <f aca="false">Espejo_occ*(C130/Vmod_occ)^((m_occ-1)/m_occ)</f>
        <v>4038.47626377853</v>
      </c>
      <c r="F130" s="41" t="n">
        <f aca="false">(Evap_dia+Infil_dia)/1000*E130</f>
        <v>24.2308575826712</v>
      </c>
      <c r="G130" s="41" t="n">
        <f aca="false">IF(C130&gt;0,Cons_dia,0)</f>
        <v>2</v>
      </c>
      <c r="H130" s="48" t="n">
        <f aca="false">Fondo_occ+D130</f>
        <v>387.012470224844</v>
      </c>
      <c r="I130" s="37" t="n">
        <f aca="false">MAX(0,I129-L129-M129)</f>
        <v>4646.45439391365</v>
      </c>
      <c r="J130" s="48" t="n">
        <f aca="false">Hmax_ori*(I130/Vmod_ori)^(1/m_ori)</f>
        <v>2.91277580840427</v>
      </c>
      <c r="K130" s="37" t="n">
        <f aca="false">Espejo_ori*(I130/Vmod_ori)^((m_ori-1)/m_ori)</f>
        <v>4091.68309006169</v>
      </c>
      <c r="L130" s="41" t="n">
        <f aca="false">(Evap_dia+Infil_dia)/1000*K130</f>
        <v>24.5500985403701</v>
      </c>
      <c r="M130" s="41" t="n">
        <f aca="false">IF(I130&gt;0,Cons_dia,0)</f>
        <v>2</v>
      </c>
      <c r="N130" s="48" t="n">
        <f aca="false">Fondo_ori+J130</f>
        <v>386.012775808404</v>
      </c>
      <c r="O130" s="33" t="n">
        <f aca="false">Cota_casa</f>
        <v>383</v>
      </c>
    </row>
    <row r="131" customFormat="false" ht="15" hidden="false" customHeight="false" outlineLevel="0" collapsed="false">
      <c r="B131" s="25" t="n">
        <v>108</v>
      </c>
      <c r="C131" s="37" t="n">
        <f aca="false">MAX(0,C130-F130-G130)</f>
        <v>4236.55661428024</v>
      </c>
      <c r="D131" s="48" t="n">
        <f aca="false">Hmax_occ*(C131/Vmod_occ)^(1/m_occ)</f>
        <v>2.60596303971763</v>
      </c>
      <c r="E131" s="37" t="n">
        <f aca="false">Espejo_occ*(C131/Vmod_occ)^((m_occ-1)/m_occ)</f>
        <v>4023.64786473709</v>
      </c>
      <c r="F131" s="41" t="n">
        <f aca="false">(Evap_dia+Infil_dia)/1000*E131</f>
        <v>24.1418871884225</v>
      </c>
      <c r="G131" s="41" t="n">
        <f aca="false">IF(C131&gt;0,Cons_dia,0)</f>
        <v>2</v>
      </c>
      <c r="H131" s="48" t="n">
        <f aca="false">Fondo_occ+D131</f>
        <v>387.005963039718</v>
      </c>
      <c r="I131" s="37" t="n">
        <f aca="false">MAX(0,I130-L130-M130)</f>
        <v>4619.90429537327</v>
      </c>
      <c r="J131" s="48" t="n">
        <f aca="false">Hmax_ori*(I131/Vmod_ori)^(1/m_ori)</f>
        <v>2.90627566605739</v>
      </c>
      <c r="K131" s="37" t="n">
        <f aca="false">Espejo_ori*(I131/Vmod_ori)^((m_ori-1)/m_ori)</f>
        <v>4077.402104704</v>
      </c>
      <c r="L131" s="41" t="n">
        <f aca="false">(Evap_dia+Infil_dia)/1000*K131</f>
        <v>24.464412628224</v>
      </c>
      <c r="M131" s="41" t="n">
        <f aca="false">IF(I131&gt;0,Cons_dia,0)</f>
        <v>2</v>
      </c>
      <c r="N131" s="48" t="n">
        <f aca="false">Fondo_ori+J131</f>
        <v>386.006275666057</v>
      </c>
      <c r="O131" s="33" t="n">
        <f aca="false">Cota_casa</f>
        <v>383</v>
      </c>
    </row>
    <row r="132" customFormat="false" ht="15" hidden="false" customHeight="false" outlineLevel="0" collapsed="false">
      <c r="B132" s="25" t="n">
        <v>109</v>
      </c>
      <c r="C132" s="37" t="n">
        <f aca="false">MAX(0,C131-F131-G131)</f>
        <v>4210.41472709182</v>
      </c>
      <c r="D132" s="48" t="n">
        <f aca="false">Hmax_occ*(C132/Vmod_occ)^(1/m_occ)</f>
        <v>2.59945399281189</v>
      </c>
      <c r="E132" s="37" t="n">
        <f aca="false">Espejo_occ*(C132/Vmod_occ)^((m_occ-1)/m_occ)</f>
        <v>4008.83280810824</v>
      </c>
      <c r="F132" s="41" t="n">
        <f aca="false">(Evap_dia+Infil_dia)/1000*E132</f>
        <v>24.0529968486494</v>
      </c>
      <c r="G132" s="41" t="n">
        <f aca="false">IF(C132&gt;0,Cons_dia,0)</f>
        <v>2</v>
      </c>
      <c r="H132" s="48" t="n">
        <f aca="false">Fondo_occ+D132</f>
        <v>386.999453992812</v>
      </c>
      <c r="I132" s="37" t="n">
        <f aca="false">MAX(0,I131-L131-M131)</f>
        <v>4593.43988274505</v>
      </c>
      <c r="J132" s="48" t="n">
        <f aca="false">Hmax_ori*(I132/Vmod_ori)^(1/m_ori)</f>
        <v>2.89977378024993</v>
      </c>
      <c r="K132" s="37" t="n">
        <f aca="false">Espejo_ori*(I132/Vmod_ori)^((m_ori-1)/m_ori)</f>
        <v>4063.13533127593</v>
      </c>
      <c r="L132" s="41" t="n">
        <f aca="false">(Evap_dia+Infil_dia)/1000*K132</f>
        <v>24.3788119876556</v>
      </c>
      <c r="M132" s="41" t="n">
        <f aca="false">IF(I132&gt;0,Cons_dia,0)</f>
        <v>2</v>
      </c>
      <c r="N132" s="48" t="n">
        <f aca="false">Fondo_ori+J132</f>
        <v>385.99977378025</v>
      </c>
      <c r="O132" s="33" t="n">
        <f aca="false">Cota_casa</f>
        <v>383</v>
      </c>
    </row>
    <row r="133" customFormat="false" ht="15" hidden="false" customHeight="false" outlineLevel="0" collapsed="false">
      <c r="B133" s="25" t="n">
        <v>110</v>
      </c>
      <c r="C133" s="37" t="n">
        <f aca="false">MAX(0,C132-F132-G132)</f>
        <v>4184.36173024317</v>
      </c>
      <c r="D133" s="48" t="n">
        <f aca="false">Hmax_occ*(C133/Vmod_occ)^(1/m_occ)</f>
        <v>2.59294307204663</v>
      </c>
      <c r="E133" s="37" t="n">
        <f aca="false">Espejo_occ*(C133/Vmod_occ)^((m_occ-1)/m_occ)</f>
        <v>3994.03110465419</v>
      </c>
      <c r="F133" s="41" t="n">
        <f aca="false">(Evap_dia+Infil_dia)/1000*E133</f>
        <v>23.9641866279251</v>
      </c>
      <c r="G133" s="41" t="n">
        <f aca="false">IF(C133&gt;0,Cons_dia,0)</f>
        <v>2</v>
      </c>
      <c r="H133" s="48" t="n">
        <f aca="false">Fondo_occ+D133</f>
        <v>386.992943072047</v>
      </c>
      <c r="I133" s="37" t="n">
        <f aca="false">MAX(0,I132-L132-M132)</f>
        <v>4567.0610707574</v>
      </c>
      <c r="J133" s="48" t="n">
        <f aca="false">Hmax_ori*(I133/Vmod_ori)^(1/m_ori)</f>
        <v>2.89327014048268</v>
      </c>
      <c r="K133" s="37" t="n">
        <f aca="false">Espejo_ori*(I133/Vmod_ori)^((m_ori-1)/m_ori)</f>
        <v>4048.88277889544</v>
      </c>
      <c r="L133" s="41" t="n">
        <f aca="false">(Evap_dia+Infil_dia)/1000*K133</f>
        <v>24.2932966733727</v>
      </c>
      <c r="M133" s="41" t="n">
        <f aca="false">IF(I133&gt;0,Cons_dia,0)</f>
        <v>2</v>
      </c>
      <c r="N133" s="48" t="n">
        <f aca="false">Fondo_ori+J133</f>
        <v>385.993270140483</v>
      </c>
      <c r="O133" s="33" t="n">
        <f aca="false">Cota_casa</f>
        <v>383</v>
      </c>
    </row>
    <row r="134" customFormat="false" ht="15" hidden="false" customHeight="false" outlineLevel="0" collapsed="false">
      <c r="B134" s="25" t="n">
        <v>111</v>
      </c>
      <c r="C134" s="37" t="n">
        <f aca="false">MAX(0,C133-F133-G133)</f>
        <v>4158.39754361524</v>
      </c>
      <c r="D134" s="48" t="n">
        <f aca="false">Hmax_occ*(C134/Vmod_occ)^(1/m_occ)</f>
        <v>2.58643026522731</v>
      </c>
      <c r="E134" s="37" t="n">
        <f aca="false">Espejo_occ*(C134/Vmod_occ)^((m_occ-1)/m_occ)</f>
        <v>3979.24276514109</v>
      </c>
      <c r="F134" s="41" t="n">
        <f aca="false">(Evap_dia+Infil_dia)/1000*E134</f>
        <v>23.8754565908465</v>
      </c>
      <c r="G134" s="41" t="n">
        <f aca="false">IF(C134&gt;0,Cons_dia,0)</f>
        <v>2</v>
      </c>
      <c r="H134" s="48" t="n">
        <f aca="false">Fondo_occ+D134</f>
        <v>386.986430265227</v>
      </c>
      <c r="I134" s="37" t="n">
        <f aca="false">MAX(0,I133-L133-M133)</f>
        <v>4540.76777408402</v>
      </c>
      <c r="J134" s="48" t="n">
        <f aca="false">Hmax_ori*(I134/Vmod_ori)^(1/m_ori)</f>
        <v>2.88676473616499</v>
      </c>
      <c r="K134" s="37" t="n">
        <f aca="false">Espejo_ori*(I134/Vmod_ori)^((m_ori-1)/m_ori)</f>
        <v>4034.64445668629</v>
      </c>
      <c r="L134" s="41" t="n">
        <f aca="false">(Evap_dia+Infil_dia)/1000*K134</f>
        <v>24.2078667401177</v>
      </c>
      <c r="M134" s="41" t="n">
        <f aca="false">IF(I134&gt;0,Cons_dia,0)</f>
        <v>2</v>
      </c>
      <c r="N134" s="48" t="n">
        <f aca="false">Fondo_ori+J134</f>
        <v>385.986764736165</v>
      </c>
      <c r="O134" s="33" t="n">
        <f aca="false">Cota_casa</f>
        <v>383</v>
      </c>
    </row>
    <row r="135" customFormat="false" ht="15" hidden="false" customHeight="false" outlineLevel="0" collapsed="false">
      <c r="B135" s="25" t="n">
        <v>112</v>
      </c>
      <c r="C135" s="37" t="n">
        <f aca="false">MAX(0,C134-F134-G134)</f>
        <v>4132.5220870244</v>
      </c>
      <c r="D135" s="48" t="n">
        <f aca="false">Hmax_occ*(C135/Vmod_occ)^(1/m_occ)</f>
        <v>2.57991556004351</v>
      </c>
      <c r="E135" s="37" t="n">
        <f aca="false">Espejo_occ*(C135/Vmod_occ)^((m_occ-1)/m_occ)</f>
        <v>3964.46780033874</v>
      </c>
      <c r="F135" s="41" t="n">
        <f aca="false">(Evap_dia+Infil_dia)/1000*E135</f>
        <v>23.7868068020324</v>
      </c>
      <c r="G135" s="41" t="n">
        <f aca="false">IF(C135&gt;0,Cons_dia,0)</f>
        <v>2</v>
      </c>
      <c r="H135" s="48" t="n">
        <f aca="false">Fondo_occ+D135</f>
        <v>386.979915560044</v>
      </c>
      <c r="I135" s="37" t="n">
        <f aca="false">MAX(0,I134-L134-M134)</f>
        <v>4514.55990734391</v>
      </c>
      <c r="J135" s="48" t="n">
        <f aca="false">Hmax_ori*(I135/Vmod_ori)^(1/m_ori)</f>
        <v>2.88025755661366</v>
      </c>
      <c r="K135" s="37" t="n">
        <f aca="false">Espejo_ori*(I135/Vmod_ori)^((m_ori-1)/m_ori)</f>
        <v>4020.42037377783</v>
      </c>
      <c r="L135" s="41" t="n">
        <f aca="false">(Evap_dia+Infil_dia)/1000*K135</f>
        <v>24.122522242667</v>
      </c>
      <c r="M135" s="41" t="n">
        <f aca="false">IF(I135&gt;0,Cons_dia,0)</f>
        <v>2</v>
      </c>
      <c r="N135" s="48" t="n">
        <f aca="false">Fondo_ori+J135</f>
        <v>385.980257556614</v>
      </c>
      <c r="O135" s="33" t="n">
        <f aca="false">Cota_casa</f>
        <v>383</v>
      </c>
    </row>
    <row r="136" customFormat="false" ht="15" hidden="false" customHeight="false" outlineLevel="0" collapsed="false">
      <c r="B136" s="25" t="n">
        <v>113</v>
      </c>
      <c r="C136" s="37" t="n">
        <f aca="false">MAX(0,C135-F135-G135)</f>
        <v>4106.73528022236</v>
      </c>
      <c r="D136" s="48" t="n">
        <f aca="false">Hmax_occ*(C136/Vmod_occ)^(1/m_occ)</f>
        <v>2.57339894406752</v>
      </c>
      <c r="E136" s="37" t="n">
        <f aca="false">Espejo_occ*(C136/Vmod_occ)^((m_occ-1)/m_occ)</f>
        <v>3949.70622102022</v>
      </c>
      <c r="F136" s="41" t="n">
        <f aca="false">(Evap_dia+Infil_dia)/1000*E136</f>
        <v>23.6982373261213</v>
      </c>
      <c r="G136" s="41" t="n">
        <f aca="false">IF(C136&gt;0,Cons_dia,0)</f>
        <v>2</v>
      </c>
      <c r="H136" s="48" t="n">
        <f aca="false">Fondo_occ+D136</f>
        <v>386.973398944067</v>
      </c>
      <c r="I136" s="37" t="n">
        <f aca="false">MAX(0,I135-L135-M135)</f>
        <v>4488.43738510124</v>
      </c>
      <c r="J136" s="48" t="n">
        <f aca="false">Hmax_ori*(I136/Vmod_ori)^(1/m_ori)</f>
        <v>2.87374859105193</v>
      </c>
      <c r="K136" s="37" t="n">
        <f aca="false">Espejo_ori*(I136/Vmod_ori)^((m_ori-1)/m_ori)</f>
        <v>4006.21053930485</v>
      </c>
      <c r="L136" s="41" t="n">
        <f aca="false">(Evap_dia+Infil_dia)/1000*K136</f>
        <v>24.0372632358291</v>
      </c>
      <c r="M136" s="41" t="n">
        <f aca="false">IF(I136&gt;0,Cons_dia,0)</f>
        <v>2</v>
      </c>
      <c r="N136" s="48" t="n">
        <f aca="false">Fondo_ori+J136</f>
        <v>385.973748591052</v>
      </c>
      <c r="O136" s="33" t="n">
        <f aca="false">Cota_casa</f>
        <v>383</v>
      </c>
    </row>
    <row r="137" customFormat="false" ht="15" hidden="false" customHeight="false" outlineLevel="0" collapsed="false">
      <c r="B137" s="25" t="n">
        <v>114</v>
      </c>
      <c r="C137" s="37" t="n">
        <f aca="false">MAX(0,C136-F136-G136)</f>
        <v>4081.03704289624</v>
      </c>
      <c r="D137" s="48" t="n">
        <f aca="false">Hmax_occ*(C137/Vmod_occ)^(1/m_occ)</f>
        <v>2.56688040475284</v>
      </c>
      <c r="E137" s="37" t="n">
        <f aca="false">Espejo_occ*(C137/Vmod_occ)^((m_occ-1)/m_occ)</f>
        <v>3934.95803796156</v>
      </c>
      <c r="F137" s="41" t="n">
        <f aca="false">(Evap_dia+Infil_dia)/1000*E137</f>
        <v>23.6097482277694</v>
      </c>
      <c r="G137" s="41" t="n">
        <f aca="false">IF(C137&gt;0,Cons_dia,0)</f>
        <v>2</v>
      </c>
      <c r="H137" s="48" t="n">
        <f aca="false">Fondo_occ+D137</f>
        <v>386.966880404753</v>
      </c>
      <c r="I137" s="37" t="n">
        <f aca="false">MAX(0,I136-L136-M136)</f>
        <v>4462.40012186541</v>
      </c>
      <c r="J137" s="48" t="n">
        <f aca="false">Hmax_ori*(I137/Vmod_ori)^(1/m_ori)</f>
        <v>2.86723782860831</v>
      </c>
      <c r="K137" s="37" t="n">
        <f aca="false">Espejo_ori*(I137/Vmod_ori)^((m_ori-1)/m_ori)</f>
        <v>3992.01496240737</v>
      </c>
      <c r="L137" s="41" t="n">
        <f aca="false">(Evap_dia+Infil_dia)/1000*K137</f>
        <v>23.9520897744442</v>
      </c>
      <c r="M137" s="41" t="n">
        <f aca="false">IF(I137&gt;0,Cons_dia,0)</f>
        <v>2</v>
      </c>
      <c r="N137" s="48" t="n">
        <f aca="false">Fondo_ori+J137</f>
        <v>385.967237828608</v>
      </c>
      <c r="O137" s="33" t="n">
        <f aca="false">Cota_casa</f>
        <v>383</v>
      </c>
    </row>
    <row r="138" customFormat="false" ht="15" hidden="false" customHeight="false" outlineLevel="0" collapsed="false">
      <c r="B138" s="25" t="n">
        <v>115</v>
      </c>
      <c r="C138" s="37" t="n">
        <f aca="false">MAX(0,C137-F137-G137)</f>
        <v>4055.42729466847</v>
      </c>
      <c r="D138" s="48" t="n">
        <f aca="false">Hmax_occ*(C138/Vmod_occ)^(1/m_occ)</f>
        <v>2.56035992943266</v>
      </c>
      <c r="E138" s="37" t="n">
        <f aca="false">Espejo_occ*(C138/Vmod_occ)^((m_occ-1)/m_occ)</f>
        <v>3920.22326194137</v>
      </c>
      <c r="F138" s="41" t="n">
        <f aca="false">(Evap_dia+Infil_dia)/1000*E138</f>
        <v>23.5213395716482</v>
      </c>
      <c r="G138" s="41" t="n">
        <f aca="false">IF(C138&gt;0,Cons_dia,0)</f>
        <v>2</v>
      </c>
      <c r="H138" s="48" t="n">
        <f aca="false">Fondo_occ+D138</f>
        <v>386.960359929433</v>
      </c>
      <c r="I138" s="37" t="n">
        <f aca="false">MAX(0,I137-L137-M137)</f>
        <v>4436.44803209096</v>
      </c>
      <c r="J138" s="48" t="n">
        <f aca="false">Hmax_ori*(I138/Vmod_ori)^(1/m_ori)</f>
        <v>2.86072525831557</v>
      </c>
      <c r="K138" s="37" t="n">
        <f aca="false">Espejo_ori*(I138/Vmod_ori)^((m_ori-1)/m_ori)</f>
        <v>3977.83365223046</v>
      </c>
      <c r="L138" s="41" t="n">
        <f aca="false">(Evap_dia+Infil_dia)/1000*K138</f>
        <v>23.8670019133827</v>
      </c>
      <c r="M138" s="41" t="n">
        <f aca="false">IF(I138&gt;0,Cons_dia,0)</f>
        <v>2</v>
      </c>
      <c r="N138" s="48" t="n">
        <f aca="false">Fondo_ori+J138</f>
        <v>385.960725258316</v>
      </c>
      <c r="O138" s="33" t="n">
        <f aca="false">Cota_casa</f>
        <v>383</v>
      </c>
    </row>
    <row r="139" customFormat="false" ht="15" hidden="false" customHeight="false" outlineLevel="0" collapsed="false">
      <c r="B139" s="25" t="n">
        <v>116</v>
      </c>
      <c r="C139" s="37" t="n">
        <f aca="false">MAX(0,C138-F138-G138)</f>
        <v>4029.90595509683</v>
      </c>
      <c r="D139" s="48" t="n">
        <f aca="false">Hmax_occ*(C139/Vmod_occ)^(1/m_occ)</f>
        <v>2.55383750531836</v>
      </c>
      <c r="E139" s="37" t="n">
        <f aca="false">Espejo_occ*(C139/Vmod_occ)^((m_occ-1)/m_occ)</f>
        <v>3905.50190374046</v>
      </c>
      <c r="F139" s="41" t="n">
        <f aca="false">(Evap_dia+Infil_dia)/1000*E139</f>
        <v>23.4330114224428</v>
      </c>
      <c r="G139" s="41" t="n">
        <f aca="false">IF(C139&gt;0,Cons_dia,0)</f>
        <v>2</v>
      </c>
      <c r="H139" s="48" t="n">
        <f aca="false">Fondo_occ+D139</f>
        <v>386.953837505318</v>
      </c>
      <c r="I139" s="37" t="n">
        <f aca="false">MAX(0,I138-L138-M138)</f>
        <v>4410.58103017758</v>
      </c>
      <c r="J139" s="48" t="n">
        <f aca="false">Hmax_ori*(I139/Vmod_ori)^(1/m_ori)</f>
        <v>2.85421086910956</v>
      </c>
      <c r="K139" s="37" t="n">
        <f aca="false">Espejo_ori*(I139/Vmod_ori)^((m_ori-1)/m_ori)</f>
        <v>3963.66661792403</v>
      </c>
      <c r="L139" s="41" t="n">
        <f aca="false">(Evap_dia+Infil_dia)/1000*K139</f>
        <v>23.7819997075442</v>
      </c>
      <c r="M139" s="41" t="n">
        <f aca="false">IF(I139&gt;0,Cons_dia,0)</f>
        <v>2</v>
      </c>
      <c r="N139" s="48" t="n">
        <f aca="false">Fondo_ori+J139</f>
        <v>385.95421086911</v>
      </c>
      <c r="O139" s="33" t="n">
        <f aca="false">Cota_casa</f>
        <v>383</v>
      </c>
    </row>
    <row r="140" customFormat="false" ht="15" hidden="false" customHeight="false" outlineLevel="0" collapsed="false">
      <c r="B140" s="25" t="n">
        <v>117</v>
      </c>
      <c r="C140" s="37" t="n">
        <f aca="false">MAX(0,C139-F139-G139)</f>
        <v>4004.47294367438</v>
      </c>
      <c r="D140" s="48" t="n">
        <f aca="false">Hmax_occ*(C140/Vmod_occ)^(1/m_occ)</f>
        <v>2.54731311949791</v>
      </c>
      <c r="E140" s="37" t="n">
        <f aca="false">Espejo_occ*(C140/Vmod_occ)^((m_occ-1)/m_occ)</f>
        <v>3890.79397414152</v>
      </c>
      <c r="F140" s="41" t="n">
        <f aca="false">(Evap_dia+Infil_dia)/1000*E140</f>
        <v>23.3447638448491</v>
      </c>
      <c r="G140" s="41" t="n">
        <f aca="false">IF(C140&gt;0,Cons_dia,0)</f>
        <v>2</v>
      </c>
      <c r="H140" s="48" t="n">
        <f aca="false">Fondo_occ+D140</f>
        <v>386.947313119498</v>
      </c>
      <c r="I140" s="37" t="n">
        <f aca="false">MAX(0,I139-L139-M139)</f>
        <v>4384.79903047004</v>
      </c>
      <c r="J140" s="48" t="n">
        <f aca="false">Hmax_ori*(I140/Vmod_ori)^(1/m_ori)</f>
        <v>2.84769464982811</v>
      </c>
      <c r="K140" s="37" t="n">
        <f aca="false">Espejo_ori*(I140/Vmod_ori)^((m_ori-1)/m_ori)</f>
        <v>3949.51386864266</v>
      </c>
      <c r="L140" s="41" t="n">
        <f aca="false">(Evap_dia+Infil_dia)/1000*K140</f>
        <v>23.697083211856</v>
      </c>
      <c r="M140" s="41" t="n">
        <f aca="false">IF(I140&gt;0,Cons_dia,0)</f>
        <v>2</v>
      </c>
      <c r="N140" s="48" t="n">
        <f aca="false">Fondo_ori+J140</f>
        <v>385.947694649828</v>
      </c>
      <c r="O140" s="33" t="n">
        <f aca="false">Cota_casa</f>
        <v>383</v>
      </c>
    </row>
    <row r="141" customFormat="false" ht="15" hidden="false" customHeight="false" outlineLevel="0" collapsed="false">
      <c r="B141" s="25" t="n">
        <v>118</v>
      </c>
      <c r="C141" s="37" t="n">
        <f aca="false">MAX(0,C140-F140-G140)</f>
        <v>3979.12817982953</v>
      </c>
      <c r="D141" s="48" t="n">
        <f aca="false">Hmax_occ*(C141/Vmod_occ)^(1/m_occ)</f>
        <v>2.54078675893433</v>
      </c>
      <c r="E141" s="37" t="n">
        <f aca="false">Espejo_occ*(C141/Vmod_occ)^((m_occ-1)/m_occ)</f>
        <v>3876.09948392865</v>
      </c>
      <c r="F141" s="41" t="n">
        <f aca="false">(Evap_dia+Infil_dia)/1000*E141</f>
        <v>23.2565969035719</v>
      </c>
      <c r="G141" s="41" t="n">
        <f aca="false">IF(C141&gt;0,Cons_dia,0)</f>
        <v>2</v>
      </c>
      <c r="H141" s="48" t="n">
        <f aca="false">Fondo_occ+D141</f>
        <v>386.940786758934</v>
      </c>
      <c r="I141" s="37" t="n">
        <f aca="false">MAX(0,I140-L140-M140)</f>
        <v>4359.10194725818</v>
      </c>
      <c r="J141" s="48" t="n">
        <f aca="false">Hmax_ori*(I141/Vmod_ori)^(1/m_ori)</f>
        <v>2.84117658920988</v>
      </c>
      <c r="K141" s="37" t="n">
        <f aca="false">Espejo_ori*(I141/Vmod_ori)^((m_ori-1)/m_ori)</f>
        <v>3935.37541354536</v>
      </c>
      <c r="L141" s="41" t="n">
        <f aca="false">(Evap_dia+Infil_dia)/1000*K141</f>
        <v>23.6122524812722</v>
      </c>
      <c r="M141" s="41" t="n">
        <f aca="false">IF(I141&gt;0,Cons_dia,0)</f>
        <v>2</v>
      </c>
      <c r="N141" s="48" t="n">
        <f aca="false">Fondo_ori+J141</f>
        <v>385.94117658921</v>
      </c>
      <c r="O141" s="33" t="n">
        <f aca="false">Cota_casa</f>
        <v>383</v>
      </c>
    </row>
    <row r="142" customFormat="false" ht="15" hidden="false" customHeight="false" outlineLevel="0" collapsed="false">
      <c r="B142" s="25" t="n">
        <v>119</v>
      </c>
      <c r="C142" s="37" t="n">
        <f aca="false">MAX(0,C141-F141-G141)</f>
        <v>3953.87158292596</v>
      </c>
      <c r="D142" s="48" t="n">
        <f aca="false">Hmax_occ*(C142/Vmod_occ)^(1/m_occ)</f>
        <v>2.53425841046404</v>
      </c>
      <c r="E142" s="37" t="n">
        <f aca="false">Espejo_occ*(C142/Vmod_occ)^((m_occ-1)/m_occ)</f>
        <v>3861.41844388706</v>
      </c>
      <c r="F142" s="41" t="n">
        <f aca="false">(Evap_dia+Infil_dia)/1000*E142</f>
        <v>23.1685106633224</v>
      </c>
      <c r="G142" s="41" t="n">
        <f aca="false">IF(C142&gt;0,Cons_dia,0)</f>
        <v>2</v>
      </c>
      <c r="H142" s="48" t="n">
        <f aca="false">Fondo_occ+D142</f>
        <v>386.934258410464</v>
      </c>
      <c r="I142" s="37" t="n">
        <f aca="false">MAX(0,I141-L141-M141)</f>
        <v>4333.48969477691</v>
      </c>
      <c r="J142" s="48" t="n">
        <f aca="false">Hmax_ori*(I142/Vmod_ori)^(1/m_ori)</f>
        <v>2.83465667589316</v>
      </c>
      <c r="K142" s="37" t="n">
        <f aca="false">Espejo_ori*(I142/Vmod_ori)^((m_ori-1)/m_ori)</f>
        <v>3921.25126179539</v>
      </c>
      <c r="L142" s="41" t="n">
        <f aca="false">(Evap_dia+Infil_dia)/1000*K142</f>
        <v>23.5275075707723</v>
      </c>
      <c r="M142" s="41" t="n">
        <f aca="false">IF(I142&gt;0,Cons_dia,0)</f>
        <v>2</v>
      </c>
      <c r="N142" s="48" t="n">
        <f aca="false">Fondo_ori+J142</f>
        <v>385.934656675893</v>
      </c>
      <c r="O142" s="33" t="n">
        <f aca="false">Cota_casa</f>
        <v>383</v>
      </c>
    </row>
    <row r="143" customFormat="false" ht="15" hidden="false" customHeight="false" outlineLevel="0" collapsed="false">
      <c r="B143" s="25" t="n">
        <v>120</v>
      </c>
      <c r="C143" s="37" t="n">
        <f aca="false">MAX(0,C142-F142-G142)</f>
        <v>3928.70307226264</v>
      </c>
      <c r="D143" s="48" t="n">
        <f aca="false">Hmax_occ*(C143/Vmod_occ)^(1/m_occ)</f>
        <v>2.52772806079528</v>
      </c>
      <c r="E143" s="37" t="n">
        <f aca="false">Espejo_occ*(C143/Vmod_occ)^((m_occ-1)/m_occ)</f>
        <v>3846.7508648026</v>
      </c>
      <c r="F143" s="41" t="n">
        <f aca="false">(Evap_dia+Infil_dia)/1000*E143</f>
        <v>23.0805051888156</v>
      </c>
      <c r="G143" s="41" t="n">
        <f aca="false">IF(C143&gt;0,Cons_dia,0)</f>
        <v>2</v>
      </c>
      <c r="H143" s="48" t="n">
        <f aca="false">Fondo_occ+D143</f>
        <v>386.927728060795</v>
      </c>
      <c r="I143" s="37" t="n">
        <f aca="false">MAX(0,I142-L142-M142)</f>
        <v>4307.96218720614</v>
      </c>
      <c r="J143" s="48" t="n">
        <f aca="false">Hmax_ori*(I143/Vmod_ori)^(1/m_ori)</f>
        <v>2.82813489841474</v>
      </c>
      <c r="K143" s="37" t="n">
        <f aca="false">Espejo_ori*(I143/Vmod_ori)^((m_ori-1)/m_ori)</f>
        <v>3907.14142256</v>
      </c>
      <c r="L143" s="41" t="n">
        <f aca="false">(Evap_dia+Infil_dia)/1000*K143</f>
        <v>23.44284853536</v>
      </c>
      <c r="M143" s="41" t="n">
        <f aca="false">IF(I143&gt;0,Cons_dia,0)</f>
        <v>2</v>
      </c>
      <c r="N143" s="48" t="n">
        <f aca="false">Fondo_ori+J143</f>
        <v>385.928134898415</v>
      </c>
      <c r="O143" s="33" t="n">
        <f aca="false">Cota_casa</f>
        <v>383</v>
      </c>
    </row>
  </sheetData>
  <mergeCells count="8">
    <mergeCell ref="C11:F11"/>
    <mergeCell ref="C12:F12"/>
    <mergeCell ref="C13:F13"/>
    <mergeCell ref="C14:F14"/>
    <mergeCell ref="C15:F15"/>
    <mergeCell ref="C16:F16"/>
    <mergeCell ref="C17:F17"/>
    <mergeCell ref="C18:F18"/>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578</v>
      </c>
    </row>
    <row r="3" customFormat="false" ht="15" hidden="false" customHeight="false" outlineLevel="0" collapsed="false">
      <c r="B3" s="2" t="s">
        <v>579</v>
      </c>
    </row>
    <row r="5" customFormat="false" ht="15" hidden="false" customHeight="false" outlineLevel="0" collapsed="false">
      <c r="B5" s="4" t="s">
        <v>580</v>
      </c>
      <c r="C5" s="5"/>
      <c r="D5" s="5"/>
      <c r="E5" s="5"/>
      <c r="F5" s="5"/>
      <c r="G5" s="5"/>
      <c r="H5" s="5"/>
    </row>
    <row r="6" customFormat="false" ht="15" hidden="false" customHeight="false" outlineLevel="0" collapsed="false">
      <c r="B6" s="16" t="s">
        <v>270</v>
      </c>
      <c r="C6" s="16" t="s">
        <v>375</v>
      </c>
      <c r="D6" s="16" t="s">
        <v>305</v>
      </c>
      <c r="E6" s="16" t="s">
        <v>376</v>
      </c>
      <c r="F6" s="16" t="s">
        <v>377</v>
      </c>
      <c r="G6" s="16" t="s">
        <v>71</v>
      </c>
      <c r="H6" s="16" t="s">
        <v>378</v>
      </c>
    </row>
    <row r="7" customFormat="false" ht="28.5" hidden="false" customHeight="true" outlineLevel="0" collapsed="false">
      <c r="B7" s="32" t="s">
        <v>581</v>
      </c>
      <c r="C7" s="19" t="s">
        <v>582</v>
      </c>
      <c r="D7" s="44" t="s">
        <v>583</v>
      </c>
      <c r="E7" s="33" t="n">
        <f aca="false">PK_occ</f>
        <v>387.7</v>
      </c>
      <c r="F7" s="33" t="n">
        <f aca="false">PK_ori</f>
        <v>386.7</v>
      </c>
      <c r="G7" s="25" t="s">
        <v>82</v>
      </c>
      <c r="H7" s="19" t="s">
        <v>584</v>
      </c>
    </row>
    <row r="8" customFormat="false" ht="15" hidden="false" customHeight="false" outlineLevel="0" collapsed="false">
      <c r="B8" s="32" t="s">
        <v>585</v>
      </c>
      <c r="C8" s="19" t="s">
        <v>586</v>
      </c>
      <c r="D8" s="44" t="s">
        <v>587</v>
      </c>
      <c r="E8" s="33" t="n">
        <f aca="false">Fondo_occ</f>
        <v>384.4</v>
      </c>
      <c r="F8" s="33" t="n">
        <f aca="false">Fondo_ori</f>
        <v>383.1</v>
      </c>
      <c r="G8" s="25" t="s">
        <v>82</v>
      </c>
      <c r="H8" s="19"/>
    </row>
    <row r="9" customFormat="false" ht="28.5" hidden="false" customHeight="true" outlineLevel="0" collapsed="false">
      <c r="B9" s="32" t="s">
        <v>588</v>
      </c>
      <c r="C9" s="19" t="s">
        <v>589</v>
      </c>
      <c r="D9" s="44" t="s">
        <v>590</v>
      </c>
      <c r="E9" s="33" t="n">
        <f aca="false">Borde_libre</f>
        <v>0.9</v>
      </c>
      <c r="F9" s="33" t="n">
        <f aca="false">Borde_libre</f>
        <v>0.9</v>
      </c>
      <c r="G9" s="25" t="s">
        <v>82</v>
      </c>
      <c r="H9" s="19" t="s">
        <v>591</v>
      </c>
    </row>
    <row r="10" customFormat="false" ht="15" hidden="false" customHeight="false" outlineLevel="0" collapsed="false">
      <c r="B10" s="32" t="s">
        <v>592</v>
      </c>
      <c r="C10" s="19" t="s">
        <v>593</v>
      </c>
      <c r="D10" s="44" t="s">
        <v>594</v>
      </c>
      <c r="E10" s="41" t="n">
        <f aca="false">E7+E9</f>
        <v>388.6</v>
      </c>
      <c r="F10" s="41" t="n">
        <f aca="false">F7+F9</f>
        <v>387.6</v>
      </c>
      <c r="G10" s="25" t="s">
        <v>82</v>
      </c>
      <c r="H10" s="19"/>
    </row>
    <row r="11" customFormat="false" ht="15" hidden="false" customHeight="false" outlineLevel="0" collapsed="false">
      <c r="B11" s="32" t="s">
        <v>595</v>
      </c>
      <c r="C11" s="19" t="s">
        <v>596</v>
      </c>
      <c r="D11" s="44" t="s">
        <v>597</v>
      </c>
      <c r="E11" s="38" t="n">
        <f aca="false">E10-E8</f>
        <v>4.19999999999999</v>
      </c>
      <c r="F11" s="38" t="n">
        <f aca="false">F10-F8</f>
        <v>4.5</v>
      </c>
      <c r="G11" s="25" t="s">
        <v>82</v>
      </c>
      <c r="H11" s="19" t="s">
        <v>598</v>
      </c>
    </row>
    <row r="12" customFormat="false" ht="28.5" hidden="false" customHeight="true" outlineLevel="0" collapsed="false">
      <c r="B12" s="32" t="s">
        <v>599</v>
      </c>
      <c r="C12" s="19" t="s">
        <v>600</v>
      </c>
      <c r="D12" s="44" t="s">
        <v>601</v>
      </c>
      <c r="E12" s="49" t="str">
        <f aca="false">IF(E11&lt;=Hmuro_max,"Sí, por debajo de "&amp;Hmuro_max&amp;" m","No: rediseñe")</f>
        <v>Sí, por debajo de 8 m</v>
      </c>
      <c r="F12" s="49" t="str">
        <f aca="false">IF(F11&lt;=Hmuro_max,"Sí, por debajo de "&amp;Hmuro_max&amp;" m","No: rediseñe")</f>
        <v>Sí, por debajo de 8 m</v>
      </c>
      <c r="G12" s="25"/>
      <c r="H12" s="19"/>
    </row>
    <row r="14" customFormat="false" ht="15" hidden="false" customHeight="false" outlineLevel="0" collapsed="false">
      <c r="B14" s="4" t="s">
        <v>602</v>
      </c>
      <c r="C14" s="5"/>
      <c r="D14" s="5"/>
      <c r="E14" s="5"/>
      <c r="F14" s="5"/>
      <c r="G14" s="5"/>
      <c r="H14" s="5"/>
    </row>
    <row r="15" customFormat="false" ht="15" hidden="false" customHeight="false" outlineLevel="0" collapsed="false">
      <c r="B15" s="32" t="s">
        <v>603</v>
      </c>
      <c r="C15" s="19" t="s">
        <v>604</v>
      </c>
      <c r="D15" s="44" t="s">
        <v>605</v>
      </c>
      <c r="E15" s="45" t="n">
        <f aca="false">Lmuro_occ</f>
        <v>118.75</v>
      </c>
      <c r="F15" s="45" t="n">
        <f aca="false">Lmuro_ori</f>
        <v>137.5</v>
      </c>
      <c r="G15" s="25" t="s">
        <v>82</v>
      </c>
      <c r="H15" s="19"/>
    </row>
    <row r="16" customFormat="false" ht="15" hidden="false" customHeight="false" outlineLevel="0" collapsed="false">
      <c r="B16" s="32" t="s">
        <v>606</v>
      </c>
      <c r="C16" s="19" t="s">
        <v>607</v>
      </c>
      <c r="D16" s="44" t="s">
        <v>608</v>
      </c>
      <c r="E16" s="33" t="n">
        <f aca="false">Corona</f>
        <v>3</v>
      </c>
      <c r="F16" s="33" t="n">
        <f aca="false">Corona</f>
        <v>3</v>
      </c>
      <c r="G16" s="25" t="s">
        <v>82</v>
      </c>
      <c r="H16" s="19"/>
    </row>
    <row r="17" customFormat="false" ht="28.5" hidden="false" customHeight="true" outlineLevel="0" collapsed="false">
      <c r="B17" s="32" t="s">
        <v>609</v>
      </c>
      <c r="C17" s="19" t="s">
        <v>610</v>
      </c>
      <c r="D17" s="44" t="s">
        <v>608</v>
      </c>
      <c r="E17" s="33" t="n">
        <f aca="false">Talud_muro</f>
        <v>2</v>
      </c>
      <c r="F17" s="33" t="n">
        <f aca="false">Talud_muro</f>
        <v>2</v>
      </c>
      <c r="G17" s="25" t="s">
        <v>171</v>
      </c>
      <c r="H17" s="19"/>
    </row>
    <row r="18" customFormat="false" ht="28.5" hidden="false" customHeight="true" outlineLevel="0" collapsed="false">
      <c r="B18" s="32" t="s">
        <v>611</v>
      </c>
      <c r="C18" s="19" t="s">
        <v>612</v>
      </c>
      <c r="D18" s="44" t="s">
        <v>613</v>
      </c>
      <c r="E18" s="41" t="n">
        <f aca="false">E16+2*E17*E11</f>
        <v>19.8</v>
      </c>
      <c r="F18" s="41" t="n">
        <f aca="false">F16+2*F17*F11</f>
        <v>21</v>
      </c>
      <c r="G18" s="25" t="s">
        <v>82</v>
      </c>
      <c r="H18" s="19" t="s">
        <v>614</v>
      </c>
    </row>
    <row r="19" customFormat="false" ht="15" hidden="false" customHeight="false" outlineLevel="0" collapsed="false">
      <c r="B19" s="32" t="s">
        <v>615</v>
      </c>
      <c r="C19" s="19" t="s">
        <v>616</v>
      </c>
      <c r="D19" s="44" t="s">
        <v>617</v>
      </c>
      <c r="E19" s="41" t="n">
        <f aca="false">E11*(E16+E17*E11)</f>
        <v>47.8799999999998</v>
      </c>
      <c r="F19" s="41" t="n">
        <f aca="false">F11*(F16+F17*F11)</f>
        <v>54</v>
      </c>
      <c r="G19" s="25" t="s">
        <v>129</v>
      </c>
      <c r="H19" s="19" t="s">
        <v>618</v>
      </c>
    </row>
    <row r="20" customFormat="false" ht="42" hidden="false" customHeight="true" outlineLevel="0" collapsed="false">
      <c r="B20" s="32" t="s">
        <v>619</v>
      </c>
      <c r="C20" s="19" t="s">
        <v>620</v>
      </c>
      <c r="D20" s="44" t="s">
        <v>621</v>
      </c>
      <c r="E20" s="43" t="n">
        <f aca="false">E15*(E16*E11/2+E17*E11^2/3)</f>
        <v>2144.62499999999</v>
      </c>
      <c r="F20" s="43" t="n">
        <f aca="false">F15*(F16*F11/2+F17*F11^2/3)</f>
        <v>2784.375</v>
      </c>
      <c r="G20" s="25" t="s">
        <v>140</v>
      </c>
      <c r="H20" s="19" t="s">
        <v>622</v>
      </c>
    </row>
    <row r="21" customFormat="false" ht="28.5" hidden="false" customHeight="true" outlineLevel="0" collapsed="false">
      <c r="B21" s="32" t="s">
        <v>623</v>
      </c>
      <c r="C21" s="19" t="s">
        <v>624</v>
      </c>
      <c r="D21" s="44" t="s">
        <v>625</v>
      </c>
      <c r="E21" s="41" t="n">
        <f aca="false">Vmod_occ/E20</f>
        <v>3.54374307862682</v>
      </c>
      <c r="F21" s="41" t="n">
        <f aca="false">Vmod_ori/F20</f>
        <v>2.87317620650954</v>
      </c>
      <c r="G21" s="25" t="s">
        <v>626</v>
      </c>
      <c r="H21" s="19" t="s">
        <v>627</v>
      </c>
    </row>
    <row r="23" customFormat="false" ht="15" hidden="false" customHeight="false" outlineLevel="0" collapsed="false">
      <c r="B23" s="4" t="s">
        <v>628</v>
      </c>
      <c r="C23" s="5"/>
      <c r="D23" s="5"/>
      <c r="E23" s="5"/>
      <c r="F23" s="5"/>
      <c r="G23" s="5"/>
      <c r="H23" s="5"/>
    </row>
    <row r="24" customFormat="false" ht="15" hidden="false" customHeight="false" outlineLevel="0" collapsed="false">
      <c r="B24" s="32" t="s">
        <v>629</v>
      </c>
      <c r="C24" s="19" t="s">
        <v>630</v>
      </c>
      <c r="D24" s="44" t="s">
        <v>608</v>
      </c>
      <c r="E24" s="59" t="n">
        <f aca="false">Lam_vert</f>
        <v>0.3</v>
      </c>
      <c r="G24" s="25" t="s">
        <v>82</v>
      </c>
      <c r="H24" s="19"/>
    </row>
    <row r="25" customFormat="false" ht="28.5" hidden="false" customHeight="true" outlineLevel="0" collapsed="false">
      <c r="B25" s="32" t="s">
        <v>631</v>
      </c>
      <c r="C25" s="19" t="s">
        <v>632</v>
      </c>
      <c r="D25" s="44" t="s">
        <v>608</v>
      </c>
      <c r="E25" s="59" t="n">
        <f aca="false">Coef_vert</f>
        <v>1.7</v>
      </c>
      <c r="G25" s="25" t="s">
        <v>114</v>
      </c>
      <c r="H25" s="19"/>
    </row>
    <row r="26" customFormat="false" ht="28.5" hidden="false" customHeight="true" outlineLevel="0" collapsed="false">
      <c r="B26" s="32" t="s">
        <v>633</v>
      </c>
      <c r="C26" s="19" t="s">
        <v>634</v>
      </c>
      <c r="D26" s="44" t="s">
        <v>635</v>
      </c>
      <c r="E26" s="35" t="n">
        <f aca="false">E25*E24^1.5</f>
        <v>0.279338504327635</v>
      </c>
      <c r="G26" s="25" t="s">
        <v>636</v>
      </c>
      <c r="H26" s="19" t="s">
        <v>637</v>
      </c>
    </row>
    <row r="27" customFormat="false" ht="28.5" hidden="false" customHeight="true" outlineLevel="0" collapsed="false">
      <c r="B27" s="32" t="s">
        <v>638</v>
      </c>
      <c r="C27" s="19" t="s">
        <v>639</v>
      </c>
      <c r="D27" s="44" t="s">
        <v>640</v>
      </c>
      <c r="E27" s="46" t="n">
        <f aca="false">C_tormenta*I_diseno*1/360</f>
        <v>0.138888888888889</v>
      </c>
      <c r="G27" s="25" t="s">
        <v>641</v>
      </c>
      <c r="H27" s="19" t="s">
        <v>642</v>
      </c>
    </row>
    <row r="28" customFormat="false" ht="28.5" hidden="false" customHeight="true" outlineLevel="0" collapsed="false">
      <c r="B28" s="32" t="s">
        <v>643</v>
      </c>
      <c r="C28" s="19" t="s">
        <v>644</v>
      </c>
      <c r="D28" s="44" t="s">
        <v>645</v>
      </c>
      <c r="E28" s="56" t="n">
        <f aca="false">Q_ha/q_vert</f>
        <v>0.497206388439693</v>
      </c>
      <c r="G28" s="25" t="s">
        <v>646</v>
      </c>
      <c r="H28" s="19"/>
    </row>
    <row r="30" customFormat="false" ht="28.5" hidden="false" customHeight="true" outlineLevel="0" collapsed="false">
      <c r="B30" s="16"/>
      <c r="C30" s="16" t="s">
        <v>647</v>
      </c>
      <c r="D30" s="16" t="s">
        <v>305</v>
      </c>
      <c r="E30" s="16" t="s">
        <v>648</v>
      </c>
      <c r="F30" s="16" t="s">
        <v>649</v>
      </c>
      <c r="G30" s="16"/>
      <c r="H30" s="16" t="s">
        <v>533</v>
      </c>
    </row>
    <row r="31" customFormat="false" ht="15" hidden="false" customHeight="true" outlineLevel="0" collapsed="false">
      <c r="C31" s="60" t="n">
        <v>1</v>
      </c>
      <c r="D31" s="51" t="s">
        <v>650</v>
      </c>
      <c r="E31" s="48" t="n">
        <f aca="false">Q_ha*C31</f>
        <v>0.138888888888889</v>
      </c>
      <c r="F31" s="41" t="n">
        <f aca="false">E31/q_vert</f>
        <v>0.497206388439693</v>
      </c>
      <c r="H31" s="6" t="s">
        <v>651</v>
      </c>
    </row>
    <row r="32" customFormat="false" ht="15" hidden="false" customHeight="false" outlineLevel="0" collapsed="false">
      <c r="C32" s="60" t="n">
        <v>2</v>
      </c>
      <c r="D32" s="51" t="s">
        <v>650</v>
      </c>
      <c r="E32" s="48" t="n">
        <f aca="false">Q_ha*C32</f>
        <v>0.277777777777778</v>
      </c>
      <c r="F32" s="41" t="n">
        <f aca="false">E32/q_vert</f>
        <v>0.994412776879387</v>
      </c>
      <c r="H32" s="6"/>
    </row>
    <row r="33" customFormat="false" ht="15" hidden="false" customHeight="false" outlineLevel="0" collapsed="false">
      <c r="C33" s="60" t="n">
        <v>4</v>
      </c>
      <c r="D33" s="51" t="s">
        <v>650</v>
      </c>
      <c r="E33" s="48" t="n">
        <f aca="false">Q_ha*C33</f>
        <v>0.555555555555556</v>
      </c>
      <c r="F33" s="41" t="n">
        <f aca="false">E33/q_vert</f>
        <v>1.98882555375877</v>
      </c>
      <c r="H33" s="6"/>
    </row>
    <row r="34" customFormat="false" ht="15" hidden="false" customHeight="false" outlineLevel="0" collapsed="false">
      <c r="C34" s="60" t="n">
        <v>6</v>
      </c>
      <c r="D34" s="51" t="s">
        <v>650</v>
      </c>
      <c r="E34" s="48" t="n">
        <f aca="false">Q_ha*C34</f>
        <v>0.833333333333333</v>
      </c>
      <c r="F34" s="41" t="n">
        <f aca="false">E34/q_vert</f>
        <v>2.98323833063816</v>
      </c>
      <c r="H34" s="6"/>
    </row>
    <row r="35" customFormat="false" ht="15" hidden="false" customHeight="false" outlineLevel="0" collapsed="false">
      <c r="C35" s="60" t="n">
        <v>8</v>
      </c>
      <c r="D35" s="51" t="s">
        <v>650</v>
      </c>
      <c r="E35" s="48" t="n">
        <f aca="false">Q_ha*C35</f>
        <v>1.11111111111111</v>
      </c>
      <c r="F35" s="41" t="n">
        <f aca="false">E35/q_vert</f>
        <v>3.97765110751755</v>
      </c>
    </row>
    <row r="36" customFormat="false" ht="15" hidden="false" customHeight="false" outlineLevel="0" collapsed="false">
      <c r="C36" s="60" t="n">
        <v>10</v>
      </c>
      <c r="D36" s="51" t="s">
        <v>650</v>
      </c>
      <c r="E36" s="48" t="n">
        <f aca="false">Q_ha*C36</f>
        <v>1.38888888888889</v>
      </c>
      <c r="F36" s="41" t="n">
        <f aca="false">E36/q_vert</f>
        <v>4.97206388439693</v>
      </c>
    </row>
    <row r="38" customFormat="false" ht="69" hidden="false" customHeight="true" outlineLevel="0" collapsed="false">
      <c r="B38" s="32" t="s">
        <v>652</v>
      </c>
      <c r="C38" s="19" t="s">
        <v>653</v>
      </c>
      <c r="D38" s="44" t="s">
        <v>654</v>
      </c>
      <c r="E38" s="19" t="s">
        <v>655</v>
      </c>
      <c r="F38" s="19" t="s">
        <v>656</v>
      </c>
      <c r="G38" s="25"/>
      <c r="H38" s="19" t="s">
        <v>657</v>
      </c>
    </row>
  </sheetData>
  <mergeCells count="1">
    <mergeCell ref="H31:H34"/>
  </mergeCells>
  <conditionalFormatting sqref="E12:F12">
    <cfRule type="expression" priority="2" aboveAverage="0" equalAverage="0" bottom="0" percent="0" rank="0" text="" dxfId="0">
      <formula>OR(LEFT(E12,2)="Sí",LEFT(E12,8)="Coincide",LEFT(E12,6)="Cumple")</formula>
    </cfRule>
    <cfRule type="expression" priority="3" aboveAverage="0" equalAverage="0" bottom="0" percent="0" rank="0" text="" dxfId="1">
      <formula>OR(LEFT(E12,2)="No",LEFT(E12,7)="Revisar")</formula>
    </cfRule>
    <cfRule type="expression" priority="4" aboveAverage="0" equalAverage="0" bottom="0" percent="0" rank="0" text="" dxfId="2">
      <formula>OR(LEFT(E12,8)="Marginal",LEFT(E12,10)="Carga baja")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658</v>
      </c>
    </row>
    <row r="3" customFormat="false" ht="15" hidden="false" customHeight="false" outlineLevel="0" collapsed="false">
      <c r="B3" s="2" t="s">
        <v>659</v>
      </c>
    </row>
    <row r="5" customFormat="false" ht="15" hidden="false" customHeight="false" outlineLevel="0" collapsed="false">
      <c r="B5" s="4" t="s">
        <v>660</v>
      </c>
      <c r="C5" s="5"/>
      <c r="D5" s="5"/>
      <c r="E5" s="5"/>
      <c r="F5" s="5"/>
      <c r="G5" s="5"/>
      <c r="H5" s="5"/>
    </row>
    <row r="6" customFormat="false" ht="28.5" hidden="false" customHeight="true" outlineLevel="0" collapsed="false">
      <c r="B6" s="16" t="s">
        <v>270</v>
      </c>
      <c r="C6" s="16" t="s">
        <v>375</v>
      </c>
      <c r="D6" s="16" t="s">
        <v>305</v>
      </c>
      <c r="E6" s="16" t="s">
        <v>661</v>
      </c>
      <c r="F6" s="16" t="s">
        <v>662</v>
      </c>
      <c r="G6" s="16" t="s">
        <v>71</v>
      </c>
      <c r="H6" s="16" t="s">
        <v>378</v>
      </c>
    </row>
    <row r="7" customFormat="false" ht="15" hidden="false" customHeight="false" outlineLevel="0" collapsed="false">
      <c r="B7" s="32" t="s">
        <v>663</v>
      </c>
      <c r="C7" s="19" t="s">
        <v>664</v>
      </c>
      <c r="D7" s="44" t="s">
        <v>396</v>
      </c>
      <c r="E7" s="45" t="n">
        <f aca="false">Lcan_occ</f>
        <v>220</v>
      </c>
      <c r="F7" s="45" t="n">
        <f aca="false">Lcan_ori</f>
        <v>180</v>
      </c>
      <c r="G7" s="25" t="s">
        <v>82</v>
      </c>
      <c r="H7" s="19"/>
    </row>
    <row r="8" customFormat="false" ht="15" hidden="false" customHeight="false" outlineLevel="0" collapsed="false">
      <c r="B8" s="32" t="s">
        <v>665</v>
      </c>
      <c r="C8" s="19" t="s">
        <v>666</v>
      </c>
      <c r="D8" s="44" t="s">
        <v>667</v>
      </c>
      <c r="E8" s="45" t="n">
        <f aca="false">Lmed_occ</f>
        <v>215.062379594322</v>
      </c>
      <c r="F8" s="45" t="n">
        <f aca="false">Lmed_ori</f>
        <v>181.860636245561</v>
      </c>
      <c r="G8" s="25" t="s">
        <v>82</v>
      </c>
      <c r="H8" s="19" t="s">
        <v>668</v>
      </c>
    </row>
    <row r="9" customFormat="false" ht="28.5" hidden="false" customHeight="true" outlineLevel="0" collapsed="false">
      <c r="B9" s="32" t="s">
        <v>669</v>
      </c>
      <c r="C9" s="19" t="s">
        <v>670</v>
      </c>
      <c r="D9" s="44" t="s">
        <v>671</v>
      </c>
      <c r="E9" s="61" t="n">
        <f aca="false">1/Pend_canal</f>
        <v>0.00333333333333333</v>
      </c>
      <c r="F9" s="61" t="n">
        <f aca="false">1/Pend_canal</f>
        <v>0.00333333333333333</v>
      </c>
      <c r="G9" s="25" t="s">
        <v>171</v>
      </c>
      <c r="H9" s="19" t="s">
        <v>672</v>
      </c>
    </row>
    <row r="10" customFormat="false" ht="15" hidden="false" customHeight="false" outlineLevel="0" collapsed="false">
      <c r="B10" s="32" t="s">
        <v>673</v>
      </c>
      <c r="C10" s="19" t="s">
        <v>674</v>
      </c>
      <c r="D10" s="44" t="s">
        <v>675</v>
      </c>
      <c r="E10" s="48" t="n">
        <f aca="false">E9*100</f>
        <v>0.333333333333333</v>
      </c>
      <c r="F10" s="48" t="n">
        <f aca="false">F9*100</f>
        <v>0.333333333333333</v>
      </c>
      <c r="G10" s="25" t="s">
        <v>254</v>
      </c>
      <c r="H10" s="19"/>
    </row>
    <row r="11" customFormat="false" ht="15" hidden="false" customHeight="false" outlineLevel="0" collapsed="false">
      <c r="B11" s="32" t="s">
        <v>676</v>
      </c>
      <c r="C11" s="19" t="s">
        <v>677</v>
      </c>
      <c r="D11" s="44" t="s">
        <v>678</v>
      </c>
      <c r="E11" s="56" t="n">
        <f aca="false">E7*E9</f>
        <v>0.733333333333333</v>
      </c>
      <c r="F11" s="56" t="n">
        <f aca="false">F7*F9</f>
        <v>0.6</v>
      </c>
      <c r="G11" s="25" t="s">
        <v>82</v>
      </c>
      <c r="H11" s="19"/>
    </row>
    <row r="12" customFormat="false" ht="28.5" hidden="false" customHeight="true" outlineLevel="0" collapsed="false">
      <c r="B12" s="32" t="s">
        <v>679</v>
      </c>
      <c r="C12" s="19" t="s">
        <v>680</v>
      </c>
      <c r="D12" s="44" t="s">
        <v>681</v>
      </c>
      <c r="E12" s="48" t="n">
        <f aca="false">PK_occ+E11</f>
        <v>388.433333333333</v>
      </c>
      <c r="F12" s="48" t="n">
        <f aca="false">PK_occ</f>
        <v>387.7</v>
      </c>
      <c r="G12" s="25" t="s">
        <v>82</v>
      </c>
      <c r="H12" s="19" t="s">
        <v>682</v>
      </c>
    </row>
    <row r="13" customFormat="false" ht="28.5" hidden="false" customHeight="true" outlineLevel="0" collapsed="false">
      <c r="B13" s="32" t="s">
        <v>683</v>
      </c>
      <c r="C13" s="19" t="s">
        <v>684</v>
      </c>
      <c r="D13" s="44" t="s">
        <v>685</v>
      </c>
      <c r="E13" s="48" t="n">
        <f aca="false">PK_occ</f>
        <v>387.7</v>
      </c>
      <c r="F13" s="48" t="n">
        <f aca="false">F12-F11</f>
        <v>387.1</v>
      </c>
      <c r="G13" s="25" t="s">
        <v>82</v>
      </c>
      <c r="H13" s="19"/>
    </row>
    <row r="14" customFormat="false" ht="28.5" hidden="false" customHeight="true" outlineLevel="0" collapsed="false">
      <c r="B14" s="32" t="s">
        <v>686</v>
      </c>
      <c r="C14" s="19" t="s">
        <v>687</v>
      </c>
      <c r="D14" s="44" t="s">
        <v>688</v>
      </c>
      <c r="E14" s="59" t="n">
        <f aca="false">PK_occ</f>
        <v>387.7</v>
      </c>
      <c r="F14" s="59" t="n">
        <f aca="false">PK_ori</f>
        <v>386.7</v>
      </c>
      <c r="G14" s="25" t="s">
        <v>82</v>
      </c>
      <c r="H14" s="19"/>
    </row>
    <row r="15" customFormat="false" ht="28.5" hidden="false" customHeight="true" outlineLevel="0" collapsed="false">
      <c r="B15" s="32" t="s">
        <v>689</v>
      </c>
      <c r="C15" s="19" t="s">
        <v>690</v>
      </c>
      <c r="D15" s="44" t="s">
        <v>691</v>
      </c>
      <c r="E15" s="48" t="n">
        <f aca="false">E13-E14</f>
        <v>0</v>
      </c>
      <c r="F15" s="48" t="n">
        <f aca="false">F13-F14</f>
        <v>0.399999999999977</v>
      </c>
      <c r="G15" s="25" t="s">
        <v>82</v>
      </c>
      <c r="H15" s="19" t="s">
        <v>692</v>
      </c>
    </row>
    <row r="16" customFormat="false" ht="15" hidden="false" customHeight="false" outlineLevel="0" collapsed="false">
      <c r="B16" s="32" t="s">
        <v>693</v>
      </c>
      <c r="C16" s="19" t="s">
        <v>694</v>
      </c>
      <c r="D16" s="44" t="s">
        <v>521</v>
      </c>
      <c r="E16" s="49" t="str">
        <f aca="false">IF(E15&gt;=0,"Sí","No: baje el canal")</f>
        <v>Sí</v>
      </c>
      <c r="F16" s="49" t="str">
        <f aca="false">IF(F15&gt;=0,"Sí","No: baje el canal")</f>
        <v>Sí</v>
      </c>
      <c r="G16" s="25"/>
      <c r="H16" s="19"/>
    </row>
    <row r="17" customFormat="false" ht="28.5" hidden="false" customHeight="true" outlineLevel="0" collapsed="false">
      <c r="B17" s="32" t="s">
        <v>695</v>
      </c>
      <c r="C17" s="19" t="s">
        <v>696</v>
      </c>
      <c r="D17" s="44" t="s">
        <v>697</v>
      </c>
      <c r="F17" s="48" t="n">
        <f aca="false">PK_occ-PK_ori</f>
        <v>1</v>
      </c>
      <c r="G17" s="25" t="s">
        <v>82</v>
      </c>
      <c r="H17" s="19"/>
    </row>
    <row r="18" customFormat="false" ht="42" hidden="false" customHeight="true" outlineLevel="0" collapsed="false">
      <c r="B18" s="32" t="s">
        <v>698</v>
      </c>
      <c r="C18" s="19" t="s">
        <v>699</v>
      </c>
      <c r="D18" s="44" t="s">
        <v>700</v>
      </c>
      <c r="F18" s="62" t="n">
        <f aca="false">F7/F17</f>
        <v>180</v>
      </c>
      <c r="G18" s="25" t="s">
        <v>82</v>
      </c>
      <c r="H18" s="19" t="s">
        <v>701</v>
      </c>
    </row>
    <row r="20" customFormat="false" ht="15" hidden="false" customHeight="false" outlineLevel="0" collapsed="false">
      <c r="B20" s="4" t="s">
        <v>702</v>
      </c>
      <c r="C20" s="5"/>
      <c r="D20" s="5"/>
      <c r="E20" s="5"/>
      <c r="F20" s="5"/>
      <c r="G20" s="5"/>
      <c r="H20" s="5"/>
    </row>
    <row r="21" customFormat="false" ht="28.5" hidden="false" customHeight="true" outlineLevel="0" collapsed="false">
      <c r="B21" s="32" t="s">
        <v>703</v>
      </c>
      <c r="C21" s="19" t="s">
        <v>704</v>
      </c>
      <c r="D21" s="44" t="s">
        <v>705</v>
      </c>
      <c r="E21" s="38" t="n">
        <f aca="false">20*S_canal*100</f>
        <v>6.66666666666667</v>
      </c>
      <c r="G21" s="25" t="s">
        <v>706</v>
      </c>
      <c r="H21" s="19" t="s">
        <v>707</v>
      </c>
    </row>
    <row r="22" customFormat="false" ht="28.5" hidden="false" customHeight="true" outlineLevel="0" collapsed="false">
      <c r="B22" s="16"/>
      <c r="C22" s="16" t="s">
        <v>708</v>
      </c>
      <c r="D22" s="16" t="s">
        <v>709</v>
      </c>
      <c r="E22" s="16" t="s">
        <v>710</v>
      </c>
      <c r="F22" s="16" t="s">
        <v>711</v>
      </c>
      <c r="G22" s="16"/>
      <c r="H22" s="16" t="s">
        <v>259</v>
      </c>
    </row>
    <row r="23" customFormat="false" ht="28.5" hidden="false" customHeight="true" outlineLevel="0" collapsed="false">
      <c r="C23" s="25" t="s">
        <v>712</v>
      </c>
      <c r="D23" s="25" t="n">
        <v>0</v>
      </c>
      <c r="E23" s="46" t="n">
        <f aca="false">IF(D23&gt;Lcan_occ+0.001,"",$E$12-D23*S_canal)</f>
        <v>388.433333333333</v>
      </c>
      <c r="F23" s="46" t="n">
        <f aca="false">IF(D23&gt;Lcan_ori+0.001,"",$F$12-D23*S_canal)</f>
        <v>387.7</v>
      </c>
      <c r="H23" s="19" t="s">
        <v>713</v>
      </c>
    </row>
    <row r="24" customFormat="false" ht="15" hidden="false" customHeight="false" outlineLevel="0" collapsed="false">
      <c r="C24" s="25" t="s">
        <v>714</v>
      </c>
      <c r="D24" s="25" t="n">
        <v>20</v>
      </c>
      <c r="E24" s="46" t="n">
        <f aca="false">IF(D24&gt;Lcan_occ+0.001,"",$E$12-D24*S_canal)</f>
        <v>388.366666666667</v>
      </c>
      <c r="F24" s="46" t="n">
        <f aca="false">IF(D24&gt;Lcan_ori+0.001,"",$F$12-D24*S_canal)</f>
        <v>387.633333333333</v>
      </c>
    </row>
    <row r="25" customFormat="false" ht="15" hidden="false" customHeight="false" outlineLevel="0" collapsed="false">
      <c r="C25" s="25" t="s">
        <v>715</v>
      </c>
      <c r="D25" s="25" t="n">
        <v>40</v>
      </c>
      <c r="E25" s="46" t="n">
        <f aca="false">IF(D25&gt;Lcan_occ+0.001,"",$E$12-D25*S_canal)</f>
        <v>388.3</v>
      </c>
      <c r="F25" s="46" t="n">
        <f aca="false">IF(D25&gt;Lcan_ori+0.001,"",$F$12-D25*S_canal)</f>
        <v>387.566666666667</v>
      </c>
    </row>
    <row r="26" customFormat="false" ht="15" hidden="false" customHeight="false" outlineLevel="0" collapsed="false">
      <c r="C26" s="25" t="s">
        <v>716</v>
      </c>
      <c r="D26" s="25" t="n">
        <v>60</v>
      </c>
      <c r="E26" s="46" t="n">
        <f aca="false">IF(D26&gt;Lcan_occ+0.001,"",$E$12-D26*S_canal)</f>
        <v>388.233333333333</v>
      </c>
      <c r="F26" s="46" t="n">
        <f aca="false">IF(D26&gt;Lcan_ori+0.001,"",$F$12-D26*S_canal)</f>
        <v>387.5</v>
      </c>
    </row>
    <row r="27" customFormat="false" ht="15" hidden="false" customHeight="false" outlineLevel="0" collapsed="false">
      <c r="C27" s="25" t="s">
        <v>717</v>
      </c>
      <c r="D27" s="25" t="n">
        <v>80</v>
      </c>
      <c r="E27" s="46" t="n">
        <f aca="false">IF(D27&gt;Lcan_occ+0.001,"",$E$12-D27*S_canal)</f>
        <v>388.166666666667</v>
      </c>
      <c r="F27" s="46" t="n">
        <f aca="false">IF(D27&gt;Lcan_ori+0.001,"",$F$12-D27*S_canal)</f>
        <v>387.433333333333</v>
      </c>
    </row>
    <row r="28" customFormat="false" ht="15" hidden="false" customHeight="false" outlineLevel="0" collapsed="false">
      <c r="C28" s="25" t="s">
        <v>718</v>
      </c>
      <c r="D28" s="25" t="n">
        <v>100</v>
      </c>
      <c r="E28" s="46" t="n">
        <f aca="false">IF(D28&gt;Lcan_occ+0.001,"",$E$12-D28*S_canal)</f>
        <v>388.1</v>
      </c>
      <c r="F28" s="46" t="n">
        <f aca="false">IF(D28&gt;Lcan_ori+0.001,"",$F$12-D28*S_canal)</f>
        <v>387.366666666667</v>
      </c>
    </row>
    <row r="29" customFormat="false" ht="15" hidden="false" customHeight="false" outlineLevel="0" collapsed="false">
      <c r="C29" s="25" t="s">
        <v>719</v>
      </c>
      <c r="D29" s="25" t="n">
        <v>120</v>
      </c>
      <c r="E29" s="46" t="n">
        <f aca="false">IF(D29&gt;Lcan_occ+0.001,"",$E$12-D29*S_canal)</f>
        <v>388.033333333333</v>
      </c>
      <c r="F29" s="46" t="n">
        <f aca="false">IF(D29&gt;Lcan_ori+0.001,"",$F$12-D29*S_canal)</f>
        <v>387.3</v>
      </c>
    </row>
    <row r="30" customFormat="false" ht="15" hidden="false" customHeight="false" outlineLevel="0" collapsed="false">
      <c r="C30" s="25" t="s">
        <v>720</v>
      </c>
      <c r="D30" s="25" t="n">
        <v>140</v>
      </c>
      <c r="E30" s="46" t="n">
        <f aca="false">IF(D30&gt;Lcan_occ+0.001,"",$E$12-D30*S_canal)</f>
        <v>387.966666666667</v>
      </c>
      <c r="F30" s="46" t="n">
        <f aca="false">IF(D30&gt;Lcan_ori+0.001,"",$F$12-D30*S_canal)</f>
        <v>387.233333333333</v>
      </c>
    </row>
    <row r="31" customFormat="false" ht="15" hidden="false" customHeight="false" outlineLevel="0" collapsed="false">
      <c r="C31" s="25" t="s">
        <v>721</v>
      </c>
      <c r="D31" s="25" t="n">
        <v>160</v>
      </c>
      <c r="E31" s="46" t="n">
        <f aca="false">IF(D31&gt;Lcan_occ+0.001,"",$E$12-D31*S_canal)</f>
        <v>387.9</v>
      </c>
      <c r="F31" s="46" t="n">
        <f aca="false">IF(D31&gt;Lcan_ori+0.001,"",$F$12-D31*S_canal)</f>
        <v>387.166666666667</v>
      </c>
    </row>
    <row r="32" customFormat="false" ht="15" hidden="false" customHeight="false" outlineLevel="0" collapsed="false">
      <c r="C32" s="25" t="s">
        <v>722</v>
      </c>
      <c r="D32" s="25" t="n">
        <v>180</v>
      </c>
      <c r="E32" s="46" t="n">
        <f aca="false">IF(D32&gt;Lcan_occ+0.001,"",$E$12-D32*S_canal)</f>
        <v>387.833333333333</v>
      </c>
      <c r="F32" s="46" t="n">
        <f aca="false">IF(D32&gt;Lcan_ori+0.001,"",$F$12-D32*S_canal)</f>
        <v>387.1</v>
      </c>
    </row>
    <row r="33" customFormat="false" ht="15" hidden="false" customHeight="false" outlineLevel="0" collapsed="false">
      <c r="C33" s="25" t="s">
        <v>723</v>
      </c>
      <c r="D33" s="25" t="n">
        <v>200</v>
      </c>
      <c r="E33" s="46" t="n">
        <f aca="false">IF(D33&gt;Lcan_occ+0.001,"",$E$12-D33*S_canal)</f>
        <v>387.766666666667</v>
      </c>
      <c r="F33" s="46" t="str">
        <f aca="false">IF(D33&gt;Lcan_ori+0.001,"",$F$12-D33*S_canal)</f>
        <v/>
      </c>
    </row>
    <row r="34" customFormat="false" ht="15" hidden="false" customHeight="false" outlineLevel="0" collapsed="false">
      <c r="C34" s="25" t="s">
        <v>724</v>
      </c>
      <c r="D34" s="25" t="n">
        <v>220</v>
      </c>
      <c r="E34" s="46" t="n">
        <f aca="false">IF(D34&gt;Lcan_occ+0.001,"",$E$12-D34*S_canal)</f>
        <v>387.7</v>
      </c>
      <c r="F34" s="46" t="str">
        <f aca="false">IF(D34&gt;Lcan_ori+0.001,"",$F$12-D34*S_canal)</f>
        <v/>
      </c>
    </row>
    <row r="36" customFormat="false" ht="15" hidden="false" customHeight="false" outlineLevel="0" collapsed="false">
      <c r="B36" s="4" t="s">
        <v>725</v>
      </c>
      <c r="C36" s="5"/>
      <c r="D36" s="5"/>
      <c r="E36" s="5"/>
      <c r="F36" s="5"/>
      <c r="G36" s="5"/>
      <c r="H36" s="5"/>
    </row>
    <row r="37" customFormat="false" ht="15" hidden="false" customHeight="false" outlineLevel="0" collapsed="false">
      <c r="B37" s="32" t="s">
        <v>726</v>
      </c>
      <c r="C37" s="19" t="s">
        <v>727</v>
      </c>
      <c r="D37" s="44" t="s">
        <v>590</v>
      </c>
      <c r="E37" s="59" t="n">
        <f aca="false">b_canal</f>
        <v>0.5</v>
      </c>
      <c r="F37" s="59" t="n">
        <f aca="false">b_canal</f>
        <v>0.5</v>
      </c>
      <c r="G37" s="25" t="s">
        <v>82</v>
      </c>
      <c r="H37" s="19"/>
    </row>
    <row r="38" customFormat="false" ht="28.5" hidden="false" customHeight="true" outlineLevel="0" collapsed="false">
      <c r="B38" s="32" t="s">
        <v>728</v>
      </c>
      <c r="C38" s="19" t="s">
        <v>729</v>
      </c>
      <c r="D38" s="44" t="s">
        <v>590</v>
      </c>
      <c r="E38" s="59" t="n">
        <f aca="false">y_canal</f>
        <v>0.3</v>
      </c>
      <c r="F38" s="59" t="n">
        <f aca="false">y_canal</f>
        <v>0.3</v>
      </c>
      <c r="G38" s="25" t="s">
        <v>82</v>
      </c>
      <c r="H38" s="19" t="s">
        <v>730</v>
      </c>
    </row>
    <row r="39" customFormat="false" ht="15" hidden="false" customHeight="false" outlineLevel="0" collapsed="false">
      <c r="B39" s="32" t="s">
        <v>731</v>
      </c>
      <c r="C39" s="19" t="s">
        <v>732</v>
      </c>
      <c r="D39" s="44" t="s">
        <v>590</v>
      </c>
      <c r="E39" s="33" t="n">
        <f aca="false">z_canal</f>
        <v>1</v>
      </c>
      <c r="F39" s="33" t="n">
        <f aca="false">z_canal</f>
        <v>1</v>
      </c>
      <c r="G39" s="25" t="s">
        <v>171</v>
      </c>
      <c r="H39" s="19"/>
    </row>
    <row r="40" customFormat="false" ht="15" hidden="false" customHeight="false" outlineLevel="0" collapsed="false">
      <c r="B40" s="32" t="s">
        <v>733</v>
      </c>
      <c r="C40" s="19" t="s">
        <v>734</v>
      </c>
      <c r="D40" s="44" t="s">
        <v>735</v>
      </c>
      <c r="E40" s="63" t="n">
        <f aca="false">n_Manning</f>
        <v>0.035</v>
      </c>
      <c r="F40" s="63" t="n">
        <f aca="false">n_Manning</f>
        <v>0.035</v>
      </c>
      <c r="G40" s="25" t="s">
        <v>114</v>
      </c>
      <c r="H40" s="19"/>
    </row>
    <row r="41" customFormat="false" ht="15" hidden="false" customHeight="false" outlineLevel="0" collapsed="false">
      <c r="B41" s="32" t="s">
        <v>736</v>
      </c>
      <c r="C41" s="19" t="s">
        <v>737</v>
      </c>
      <c r="D41" s="44" t="s">
        <v>738</v>
      </c>
      <c r="E41" s="46" t="n">
        <f aca="false">(E37+E39*E38)*E38</f>
        <v>0.24</v>
      </c>
      <c r="F41" s="46" t="n">
        <f aca="false">(F37+F39*F38)*F38</f>
        <v>0.24</v>
      </c>
      <c r="G41" s="25" t="s">
        <v>129</v>
      </c>
      <c r="H41" s="19"/>
    </row>
    <row r="42" customFormat="false" ht="15" hidden="false" customHeight="false" outlineLevel="0" collapsed="false">
      <c r="B42" s="32" t="s">
        <v>739</v>
      </c>
      <c r="C42" s="19" t="s">
        <v>740</v>
      </c>
      <c r="D42" s="44" t="s">
        <v>741</v>
      </c>
      <c r="E42" s="46" t="n">
        <f aca="false">E37+2*E38*SQRT(1+E39^2)</f>
        <v>1.34852813742386</v>
      </c>
      <c r="F42" s="46" t="n">
        <f aca="false">F37+2*F38*SQRT(1+F39^2)</f>
        <v>1.34852813742386</v>
      </c>
      <c r="G42" s="25" t="s">
        <v>82</v>
      </c>
      <c r="H42" s="19"/>
    </row>
    <row r="43" customFormat="false" ht="15" hidden="false" customHeight="false" outlineLevel="0" collapsed="false">
      <c r="B43" s="32" t="s">
        <v>742</v>
      </c>
      <c r="C43" s="19" t="s">
        <v>743</v>
      </c>
      <c r="D43" s="44" t="s">
        <v>744</v>
      </c>
      <c r="E43" s="46" t="n">
        <f aca="false">E41/E42</f>
        <v>0.177971814854735</v>
      </c>
      <c r="F43" s="46" t="n">
        <f aca="false">F41/F42</f>
        <v>0.177971814854735</v>
      </c>
      <c r="G43" s="25" t="s">
        <v>82</v>
      </c>
      <c r="H43" s="19"/>
    </row>
    <row r="44" customFormat="false" ht="28.5" hidden="false" customHeight="true" outlineLevel="0" collapsed="false">
      <c r="B44" s="32" t="s">
        <v>745</v>
      </c>
      <c r="C44" s="19" t="s">
        <v>746</v>
      </c>
      <c r="D44" s="44" t="s">
        <v>747</v>
      </c>
      <c r="E44" s="56" t="n">
        <f aca="false">(1/E40)*E43^(2/3)*E9^0.5</f>
        <v>0.521921852760393</v>
      </c>
      <c r="F44" s="56" t="n">
        <f aca="false">(1/F40)*F43^(2/3)*F9^0.5</f>
        <v>0.521921852760393</v>
      </c>
      <c r="G44" s="25" t="s">
        <v>748</v>
      </c>
      <c r="H44" s="19" t="s">
        <v>749</v>
      </c>
    </row>
    <row r="45" customFormat="false" ht="15" hidden="false" customHeight="false" outlineLevel="0" collapsed="false">
      <c r="B45" s="32" t="s">
        <v>750</v>
      </c>
      <c r="C45" s="19" t="s">
        <v>751</v>
      </c>
      <c r="D45" s="44" t="s">
        <v>752</v>
      </c>
      <c r="E45" s="64" t="n">
        <f aca="false">E44*E41*1000</f>
        <v>125.261244662494</v>
      </c>
      <c r="F45" s="64" t="n">
        <f aca="false">F44*F41*1000</f>
        <v>125.261244662494</v>
      </c>
      <c r="G45" s="25" t="s">
        <v>237</v>
      </c>
      <c r="H45" s="19"/>
    </row>
    <row r="46" customFormat="false" ht="15" hidden="false" customHeight="false" outlineLevel="0" collapsed="false">
      <c r="B46" s="32" t="s">
        <v>753</v>
      </c>
      <c r="C46" s="19" t="s">
        <v>754</v>
      </c>
      <c r="D46" s="44" t="s">
        <v>755</v>
      </c>
      <c r="E46" s="65" t="str">
        <f aca="false">Suelo_canal</f>
        <v>Franco firme</v>
      </c>
      <c r="F46" s="65" t="str">
        <f aca="false">Suelo_canal</f>
        <v>Franco firme</v>
      </c>
      <c r="G46" s="25"/>
      <c r="H46" s="19"/>
    </row>
    <row r="47" customFormat="false" ht="28.5" hidden="false" customHeight="true" outlineLevel="0" collapsed="false">
      <c r="B47" s="32" t="s">
        <v>756</v>
      </c>
      <c r="C47" s="19" t="s">
        <v>757</v>
      </c>
      <c r="D47" s="44" t="s">
        <v>758</v>
      </c>
      <c r="E47" s="48" t="n">
        <f aca="false">VLOOKUP(E46,Tabla_suelos,2,FALSE())</f>
        <v>0.76</v>
      </c>
      <c r="F47" s="48" t="n">
        <f aca="false">VLOOKUP(F46,Tabla_suelos,2,FALSE())</f>
        <v>0.76</v>
      </c>
      <c r="G47" s="25" t="s">
        <v>748</v>
      </c>
      <c r="H47" s="19"/>
    </row>
    <row r="48" customFormat="false" ht="15" hidden="false" customHeight="false" outlineLevel="0" collapsed="false">
      <c r="B48" s="32" t="s">
        <v>759</v>
      </c>
      <c r="C48" s="19" t="s">
        <v>760</v>
      </c>
      <c r="D48" s="44" t="s">
        <v>761</v>
      </c>
      <c r="E48" s="49" t="str">
        <f aca="false">IF(E44&lt;=E47,"Sí","No: baje la pendiente o empradice")</f>
        <v>Sí</v>
      </c>
      <c r="F48" s="49" t="str">
        <f aca="false">IF(F44&lt;=F47,"Sí","No: baje la pendiente o empradice")</f>
        <v>Sí</v>
      </c>
      <c r="G48" s="25"/>
      <c r="H48" s="19"/>
    </row>
    <row r="49" customFormat="false" ht="28.5" hidden="false" customHeight="true" outlineLevel="0" collapsed="false">
      <c r="B49" s="32" t="s">
        <v>762</v>
      </c>
      <c r="C49" s="19" t="s">
        <v>763</v>
      </c>
      <c r="D49" s="44" t="s">
        <v>764</v>
      </c>
      <c r="E49" s="41" t="n">
        <f aca="false">Vmod_occ/(E45/1000)/3600</f>
        <v>16.8536654477554</v>
      </c>
      <c r="F49" s="41" t="n">
        <f aca="false">Vmod_ori/(F45/1000)/3600</f>
        <v>17.7407004713214</v>
      </c>
      <c r="G49" s="25" t="s">
        <v>765</v>
      </c>
      <c r="H49" s="19" t="s">
        <v>766</v>
      </c>
    </row>
    <row r="50" customFormat="false" ht="42" hidden="false" customHeight="true" outlineLevel="0" collapsed="false">
      <c r="B50" s="32" t="s">
        <v>767</v>
      </c>
      <c r="C50" s="19" t="s">
        <v>768</v>
      </c>
      <c r="D50" s="44" t="s">
        <v>769</v>
      </c>
      <c r="E50" s="48" t="n">
        <f aca="false">(E45/1000)/Q_ha</f>
        <v>0.90188096156996</v>
      </c>
      <c r="F50" s="48" t="n">
        <f aca="false">(F45/1000)/Q_ha</f>
        <v>0.90188096156996</v>
      </c>
      <c r="G50" s="25" t="s">
        <v>77</v>
      </c>
      <c r="H50" s="19" t="s">
        <v>770</v>
      </c>
    </row>
  </sheetData>
  <conditionalFormatting sqref="E16:F16">
    <cfRule type="expression" priority="2" aboveAverage="0" equalAverage="0" bottom="0" percent="0" rank="0" text="" dxfId="0">
      <formula>OR(LEFT(E16,2)="Sí",LEFT(E16,8)="Coincide",LEFT(E16,6)="Cumple")</formula>
    </cfRule>
    <cfRule type="expression" priority="3" aboveAverage="0" equalAverage="0" bottom="0" percent="0" rank="0" text="" dxfId="1">
      <formula>OR(LEFT(E16,2)="No",LEFT(E16,7)="Revisar")</formula>
    </cfRule>
    <cfRule type="expression" priority="4" aboveAverage="0" equalAverage="0" bottom="0" percent="0" rank="0" text="" dxfId="2">
      <formula>OR(LEFT(E16,8)="Marginal",LEFT(E16,10)="Carga baja")</formula>
    </cfRule>
  </conditionalFormatting>
  <conditionalFormatting sqref="E48:F48">
    <cfRule type="expression" priority="5" aboveAverage="0" equalAverage="0" bottom="0" percent="0" rank="0" text="" dxfId="0">
      <formula>OR(LEFT(E48,2)="Sí",LEFT(E48,8)="Coincide",LEFT(E48,6)="Cumple")</formula>
    </cfRule>
    <cfRule type="expression" priority="6" aboveAverage="0" equalAverage="0" bottom="0" percent="0" rank="0" text="" dxfId="1">
      <formula>OR(LEFT(E48,2)="No",LEFT(E48,7)="Revisar")</formula>
    </cfRule>
    <cfRule type="expression" priority="7" aboveAverage="0" equalAverage="0" bottom="0" percent="0" rank="0" text="" dxfId="2">
      <formula>OR(LEFT(E48,8)="Marginal",LEFT(E48,10)="Carga baja")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 collapsed="false" customWidth="true" hidden="false" outlineLevel="0" max="9" min="9" style="0" width="12"/>
  </cols>
  <sheetData>
    <row r="2" customFormat="false" ht="18.55" hidden="false" customHeight="false" outlineLevel="0" collapsed="false">
      <c r="B2" s="23" t="s">
        <v>771</v>
      </c>
    </row>
    <row r="3" customFormat="false" ht="15" hidden="false" customHeight="false" outlineLevel="0" collapsed="false">
      <c r="B3" s="2" t="s">
        <v>772</v>
      </c>
    </row>
    <row r="5" customFormat="false" ht="15" hidden="false" customHeight="false" outlineLevel="0" collapsed="false">
      <c r="B5" s="4" t="s">
        <v>773</v>
      </c>
      <c r="C5" s="5"/>
      <c r="D5" s="5"/>
      <c r="E5" s="5"/>
      <c r="F5" s="5"/>
      <c r="G5" s="5"/>
      <c r="H5" s="5"/>
    </row>
    <row r="6" customFormat="false" ht="15" hidden="false" customHeight="false" outlineLevel="0" collapsed="false">
      <c r="B6" s="16" t="s">
        <v>270</v>
      </c>
      <c r="C6" s="16" t="s">
        <v>375</v>
      </c>
      <c r="D6" s="16" t="s">
        <v>305</v>
      </c>
      <c r="E6" s="16" t="s">
        <v>70</v>
      </c>
      <c r="F6" s="16"/>
      <c r="G6" s="16" t="s">
        <v>71</v>
      </c>
      <c r="H6" s="16" t="s">
        <v>378</v>
      </c>
    </row>
    <row r="7" customFormat="false" ht="15" hidden="false" customHeight="false" outlineLevel="0" collapsed="false">
      <c r="B7" s="32" t="s">
        <v>774</v>
      </c>
      <c r="C7" s="19" t="s">
        <v>185</v>
      </c>
      <c r="D7" s="44" t="s">
        <v>396</v>
      </c>
      <c r="E7" s="33" t="n">
        <f aca="false">Cota_casa</f>
        <v>383</v>
      </c>
      <c r="G7" s="25" t="s">
        <v>82</v>
      </c>
      <c r="H7" s="19"/>
    </row>
    <row r="8" customFormat="false" ht="28.5" hidden="false" customHeight="true" outlineLevel="0" collapsed="false">
      <c r="B8" s="32" t="s">
        <v>775</v>
      </c>
      <c r="C8" s="19" t="s">
        <v>776</v>
      </c>
      <c r="D8" s="44" t="s">
        <v>777</v>
      </c>
      <c r="E8" s="33" t="n">
        <f aca="false">PK_ori</f>
        <v>386.7</v>
      </c>
      <c r="G8" s="25" t="s">
        <v>82</v>
      </c>
      <c r="H8" s="19"/>
    </row>
    <row r="9" customFormat="false" ht="28.5" hidden="false" customHeight="true" outlineLevel="0" collapsed="false">
      <c r="B9" s="32" t="s">
        <v>778</v>
      </c>
      <c r="C9" s="19" t="s">
        <v>779</v>
      </c>
      <c r="D9" s="44" t="s">
        <v>780</v>
      </c>
      <c r="E9" s="38" t="n">
        <f aca="false">E8-E7</f>
        <v>3.69999999999999</v>
      </c>
      <c r="G9" s="25" t="s">
        <v>82</v>
      </c>
      <c r="H9" s="19" t="s">
        <v>781</v>
      </c>
    </row>
    <row r="10" customFormat="false" ht="15" hidden="false" customHeight="false" outlineLevel="0" collapsed="false">
      <c r="B10" s="32" t="s">
        <v>782</v>
      </c>
      <c r="C10" s="19" t="s">
        <v>783</v>
      </c>
      <c r="D10" s="44" t="s">
        <v>784</v>
      </c>
      <c r="E10" s="41" t="n">
        <f aca="false">E9*9.81</f>
        <v>36.2969999999999</v>
      </c>
      <c r="G10" s="25" t="s">
        <v>785</v>
      </c>
      <c r="H10" s="19" t="s">
        <v>786</v>
      </c>
    </row>
    <row r="11" customFormat="false" ht="15" hidden="false" customHeight="false" outlineLevel="0" collapsed="false">
      <c r="B11" s="32" t="s">
        <v>787</v>
      </c>
      <c r="C11" s="19" t="s">
        <v>788</v>
      </c>
      <c r="D11" s="44" t="s">
        <v>789</v>
      </c>
      <c r="E11" s="41" t="n">
        <f aca="false">E10*0.145</f>
        <v>5.26306499999998</v>
      </c>
      <c r="G11" s="25" t="s">
        <v>790</v>
      </c>
      <c r="H11" s="19" t="s">
        <v>791</v>
      </c>
    </row>
    <row r="12" customFormat="false" ht="28.5" hidden="false" customHeight="true" outlineLevel="0" collapsed="false">
      <c r="B12" s="32" t="s">
        <v>792</v>
      </c>
      <c r="C12" s="19" t="s">
        <v>793</v>
      </c>
      <c r="D12" s="44" t="s">
        <v>587</v>
      </c>
      <c r="E12" s="33" t="n">
        <f aca="false">Fondo_ori</f>
        <v>383.1</v>
      </c>
      <c r="G12" s="25" t="s">
        <v>82</v>
      </c>
      <c r="H12" s="19"/>
    </row>
    <row r="13" customFormat="false" ht="28.5" hidden="false" customHeight="true" outlineLevel="0" collapsed="false">
      <c r="B13" s="32" t="s">
        <v>794</v>
      </c>
      <c r="C13" s="19" t="s">
        <v>795</v>
      </c>
      <c r="D13" s="44" t="s">
        <v>796</v>
      </c>
      <c r="E13" s="49" t="str">
        <f aca="false">IF(E12&gt;E7,"Sí: toda el agua puede bajar por gravedad","No: el agua por debajo de la casa no sale sola")</f>
        <v>Sí: toda el agua puede bajar por gravedad</v>
      </c>
      <c r="G13" s="25"/>
      <c r="H13" s="19"/>
    </row>
    <row r="14" customFormat="false" ht="28.5" hidden="false" customHeight="true" outlineLevel="0" collapsed="false">
      <c r="B14" s="32" t="s">
        <v>797</v>
      </c>
      <c r="C14" s="19" t="s">
        <v>798</v>
      </c>
      <c r="D14" s="44" t="s">
        <v>799</v>
      </c>
      <c r="E14" s="59" t="n">
        <f aca="false">Nivel_fin_ori</f>
        <v>385.928134898415</v>
      </c>
      <c r="G14" s="25" t="s">
        <v>82</v>
      </c>
      <c r="H14" s="19"/>
    </row>
    <row r="15" customFormat="false" ht="28.5" hidden="false" customHeight="true" outlineLevel="0" collapsed="false">
      <c r="B15" s="32" t="s">
        <v>800</v>
      </c>
      <c r="C15" s="19" t="s">
        <v>801</v>
      </c>
      <c r="D15" s="44" t="s">
        <v>802</v>
      </c>
      <c r="E15" s="38" t="n">
        <f aca="false">E14-E7</f>
        <v>2.92813489841473</v>
      </c>
      <c r="G15" s="25" t="s">
        <v>82</v>
      </c>
      <c r="H15" s="19" t="s">
        <v>803</v>
      </c>
    </row>
    <row r="17" customFormat="false" ht="15" hidden="false" customHeight="false" outlineLevel="0" collapsed="false">
      <c r="B17" s="4" t="s">
        <v>804</v>
      </c>
      <c r="C17" s="5"/>
      <c r="D17" s="5"/>
      <c r="E17" s="5"/>
      <c r="F17" s="5"/>
      <c r="G17" s="5"/>
      <c r="H17" s="5"/>
    </row>
    <row r="18" customFormat="false" ht="28.5" hidden="false" customHeight="true" outlineLevel="0" collapsed="false">
      <c r="B18" s="32" t="s">
        <v>805</v>
      </c>
      <c r="C18" s="19" t="s">
        <v>806</v>
      </c>
      <c r="D18" s="44" t="s">
        <v>605</v>
      </c>
      <c r="E18" s="45" t="n">
        <f aca="false">L_casa</f>
        <v>168.25</v>
      </c>
      <c r="G18" s="25" t="s">
        <v>82</v>
      </c>
      <c r="H18" s="19"/>
    </row>
    <row r="19" customFormat="false" ht="15" hidden="false" customHeight="false" outlineLevel="0" collapsed="false">
      <c r="B19" s="32" t="s">
        <v>807</v>
      </c>
      <c r="C19" s="19" t="s">
        <v>808</v>
      </c>
      <c r="D19" s="44" t="s">
        <v>608</v>
      </c>
      <c r="E19" s="33" t="n">
        <f aca="false">F_trazado</f>
        <v>1.2</v>
      </c>
      <c r="G19" s="25" t="s">
        <v>114</v>
      </c>
      <c r="H19" s="19"/>
    </row>
    <row r="20" customFormat="false" ht="15" hidden="false" customHeight="false" outlineLevel="0" collapsed="false">
      <c r="B20" s="32" t="s">
        <v>809</v>
      </c>
      <c r="C20" s="19" t="s">
        <v>810</v>
      </c>
      <c r="D20" s="44" t="s">
        <v>811</v>
      </c>
      <c r="E20" s="37" t="n">
        <f aca="false">E18*E19</f>
        <v>201.9</v>
      </c>
      <c r="G20" s="25" t="s">
        <v>82</v>
      </c>
      <c r="H20" s="19"/>
    </row>
    <row r="21" customFormat="false" ht="15" hidden="false" customHeight="false" outlineLevel="0" collapsed="false">
      <c r="B21" s="32" t="s">
        <v>812</v>
      </c>
      <c r="C21" s="19" t="s">
        <v>813</v>
      </c>
      <c r="D21" s="44" t="s">
        <v>814</v>
      </c>
      <c r="E21" s="66" t="n">
        <f aca="false">Q_casa/1000</f>
        <v>0.0002</v>
      </c>
      <c r="G21" s="25" t="s">
        <v>815</v>
      </c>
      <c r="H21" s="19" t="s">
        <v>816</v>
      </c>
    </row>
    <row r="22" customFormat="false" ht="15" hidden="false" customHeight="false" outlineLevel="0" collapsed="false">
      <c r="B22" s="32" t="s">
        <v>817</v>
      </c>
      <c r="C22" s="19" t="s">
        <v>818</v>
      </c>
      <c r="D22" s="44" t="s">
        <v>819</v>
      </c>
      <c r="E22" s="46" t="n">
        <f aca="false">D_tubo/1000</f>
        <v>0.025</v>
      </c>
      <c r="G22" s="25" t="s">
        <v>82</v>
      </c>
      <c r="H22" s="19"/>
    </row>
    <row r="23" customFormat="false" ht="15" hidden="false" customHeight="false" outlineLevel="0" collapsed="false">
      <c r="B23" s="32" t="s">
        <v>820</v>
      </c>
      <c r="C23" s="19" t="s">
        <v>821</v>
      </c>
      <c r="D23" s="44" t="s">
        <v>608</v>
      </c>
      <c r="E23" s="34" t="n">
        <f aca="false">C_HW</f>
        <v>150</v>
      </c>
      <c r="G23" s="25" t="s">
        <v>114</v>
      </c>
      <c r="H23" s="19"/>
    </row>
    <row r="24" customFormat="false" ht="28.5" hidden="false" customHeight="true" outlineLevel="0" collapsed="false">
      <c r="B24" s="32" t="s">
        <v>822</v>
      </c>
      <c r="C24" s="19" t="s">
        <v>823</v>
      </c>
      <c r="D24" s="44" t="s">
        <v>824</v>
      </c>
      <c r="E24" s="56" t="n">
        <f aca="false">10.67*E20*E21^1.852/(E23^1.852*E22^4.87)</f>
        <v>1.79770918074782</v>
      </c>
      <c r="G24" s="25" t="s">
        <v>82</v>
      </c>
      <c r="H24" s="19" t="s">
        <v>825</v>
      </c>
    </row>
    <row r="25" customFormat="false" ht="28.5" hidden="false" customHeight="true" outlineLevel="0" collapsed="false">
      <c r="B25" s="32" t="s">
        <v>826</v>
      </c>
      <c r="C25" s="19" t="s">
        <v>827</v>
      </c>
      <c r="D25" s="44" t="s">
        <v>828</v>
      </c>
      <c r="E25" s="48" t="n">
        <f aca="false">E9-E24</f>
        <v>1.90229081925217</v>
      </c>
      <c r="G25" s="25" t="s">
        <v>82</v>
      </c>
      <c r="H25" s="19"/>
    </row>
    <row r="26" customFormat="false" ht="28.5" hidden="false" customHeight="true" outlineLevel="0" collapsed="false">
      <c r="B26" s="32" t="s">
        <v>829</v>
      </c>
      <c r="C26" s="19" t="s">
        <v>830</v>
      </c>
      <c r="D26" s="44" t="s">
        <v>831</v>
      </c>
      <c r="E26" s="56" t="n">
        <f aca="false">E15-E24</f>
        <v>1.1304257176669</v>
      </c>
      <c r="G26" s="25" t="s">
        <v>82</v>
      </c>
      <c r="H26" s="19"/>
    </row>
    <row r="27" customFormat="false" ht="28.5" hidden="false" customHeight="true" outlineLevel="0" collapsed="false">
      <c r="B27" s="32" t="s">
        <v>832</v>
      </c>
      <c r="C27" s="19" t="s">
        <v>833</v>
      </c>
      <c r="D27" s="44" t="s">
        <v>834</v>
      </c>
      <c r="E27" s="49" t="str">
        <f aca="false">IF(E26&gt;0,"Sí, con "&amp;FIXED(E26,1)&amp;" m de carga","No: aumente el diámetro o baje el caudal")</f>
        <v>Sí, con 1.1 m de carga</v>
      </c>
      <c r="G27" s="25"/>
      <c r="H27" s="19"/>
    </row>
    <row r="29" customFormat="false" ht="42" hidden="false" customHeight="true" outlineLevel="0" collapsed="false">
      <c r="B29" s="16"/>
      <c r="C29" s="16" t="s">
        <v>835</v>
      </c>
      <c r="D29" s="16" t="s">
        <v>305</v>
      </c>
      <c r="E29" s="16" t="s">
        <v>836</v>
      </c>
      <c r="F29" s="16" t="s">
        <v>837</v>
      </c>
      <c r="G29" s="16"/>
      <c r="H29" s="16" t="s">
        <v>533</v>
      </c>
    </row>
    <row r="30" customFormat="false" ht="28.5" hidden="false" customHeight="true" outlineLevel="0" collapsed="false">
      <c r="C30" s="60" t="n">
        <v>20</v>
      </c>
      <c r="D30" s="51" t="s">
        <v>838</v>
      </c>
      <c r="E30" s="48" t="n">
        <f aca="false">10.67*$E$20*$E$21^1.852/($E$23^1.852*(C30/1000)^4.87)</f>
        <v>5.32931265405416</v>
      </c>
      <c r="F30" s="48" t="n">
        <f aca="false">$E$15-E30</f>
        <v>-2.40117775563943</v>
      </c>
      <c r="H30" s="19" t="s">
        <v>839</v>
      </c>
    </row>
    <row r="31" customFormat="false" ht="15" hidden="false" customHeight="false" outlineLevel="0" collapsed="false">
      <c r="C31" s="60" t="n">
        <v>25</v>
      </c>
      <c r="D31" s="51" t="s">
        <v>838</v>
      </c>
      <c r="E31" s="48" t="n">
        <f aca="false">10.67*$E$20*$E$21^1.852/($E$23^1.852*(C31/1000)^4.87)</f>
        <v>1.79770918074782</v>
      </c>
      <c r="F31" s="48" t="n">
        <f aca="false">$E$15-E31</f>
        <v>1.1304257176669</v>
      </c>
    </row>
    <row r="32" customFormat="false" ht="15" hidden="false" customHeight="false" outlineLevel="0" collapsed="false">
      <c r="C32" s="60" t="n">
        <v>32</v>
      </c>
      <c r="D32" s="51" t="s">
        <v>838</v>
      </c>
      <c r="E32" s="48" t="n">
        <f aca="false">10.67*$E$20*$E$21^1.852/($E$23^1.852*(C32/1000)^4.87)</f>
        <v>0.540265062956322</v>
      </c>
      <c r="F32" s="48" t="n">
        <f aca="false">$E$15-E32</f>
        <v>2.3878698354584</v>
      </c>
    </row>
    <row r="33" customFormat="false" ht="15" hidden="false" customHeight="false" outlineLevel="0" collapsed="false">
      <c r="C33" s="60" t="n">
        <v>40</v>
      </c>
      <c r="D33" s="51" t="s">
        <v>838</v>
      </c>
      <c r="E33" s="48" t="n">
        <f aca="false">10.67*$E$20*$E$21^1.852/($E$23^1.852*(C33/1000)^4.87)</f>
        <v>0.182244789668144</v>
      </c>
      <c r="F33" s="48" t="n">
        <f aca="false">$E$15-E33</f>
        <v>2.74589010874658</v>
      </c>
    </row>
    <row r="35" customFormat="false" ht="15" hidden="false" customHeight="false" outlineLevel="0" collapsed="false">
      <c r="B35" s="4" t="s">
        <v>840</v>
      </c>
      <c r="C35" s="5"/>
      <c r="D35" s="5"/>
      <c r="E35" s="5"/>
      <c r="F35" s="5"/>
      <c r="G35" s="5"/>
      <c r="H35" s="5"/>
      <c r="I35" s="5"/>
    </row>
    <row r="36" customFormat="false" ht="28.5" hidden="false" customHeight="true" outlineLevel="0" collapsed="false">
      <c r="B36" s="16" t="s">
        <v>841</v>
      </c>
      <c r="C36" s="16" t="s">
        <v>842</v>
      </c>
      <c r="D36" s="16" t="s">
        <v>843</v>
      </c>
      <c r="E36" s="16" t="s">
        <v>844</v>
      </c>
      <c r="F36" s="16" t="s">
        <v>845</v>
      </c>
      <c r="G36" s="16" t="s">
        <v>846</v>
      </c>
      <c r="H36" s="16" t="s">
        <v>847</v>
      </c>
      <c r="I36" s="16" t="s">
        <v>848</v>
      </c>
    </row>
    <row r="37" customFormat="false" ht="28.5" hidden="false" customHeight="true" outlineLevel="0" collapsed="false">
      <c r="B37" s="67" t="s">
        <v>849</v>
      </c>
      <c r="C37" s="19" t="s">
        <v>850</v>
      </c>
      <c r="D37" s="18" t="s">
        <v>376</v>
      </c>
      <c r="E37" s="33" t="n">
        <f aca="false">IF(D37="Occidental",PK_occ,PK_ori)</f>
        <v>387.7</v>
      </c>
      <c r="F37" s="40" t="n">
        <v>389</v>
      </c>
      <c r="G37" s="41" t="n">
        <f aca="false">E37-F37</f>
        <v>-1.30000000000001</v>
      </c>
      <c r="H37" s="49" t="str">
        <f aca="false">IF(G37&gt;=Margen_grav,"Sí, con "&amp;FIXED(G37,1)&amp;" m de carga",IF(G37&gt;0,"Carga baja: "&amp;FIXED(G37,1)&amp;" m","No: queda "&amp;FIXED(-G37,1)&amp;" m por encima del agua"))</f>
        <v>No: queda 1.3 m por encima del agua</v>
      </c>
      <c r="I37" s="45" t="n">
        <f aca="false">Lt_B1</f>
        <v>222.875</v>
      </c>
    </row>
    <row r="38" customFormat="false" ht="28.5" hidden="false" customHeight="true" outlineLevel="0" collapsed="false">
      <c r="B38" s="67" t="s">
        <v>851</v>
      </c>
      <c r="C38" s="19" t="s">
        <v>852</v>
      </c>
      <c r="D38" s="18" t="s">
        <v>376</v>
      </c>
      <c r="E38" s="33" t="n">
        <f aca="false">IF(D38="Occidental",PK_occ,PK_ori)</f>
        <v>387.7</v>
      </c>
      <c r="F38" s="40" t="n">
        <v>380</v>
      </c>
      <c r="G38" s="41" t="n">
        <f aca="false">E38-F38</f>
        <v>7.69999999999999</v>
      </c>
      <c r="H38" s="49" t="str">
        <f aca="false">IF(G38&gt;=Margen_grav,"Sí, con "&amp;FIXED(G38,1)&amp;" m de carga",IF(G38&gt;0,"Carga baja: "&amp;FIXED(G38,1)&amp;" m","No: queda "&amp;FIXED(-G38,1)&amp;" m por encima del agua"))</f>
        <v>Sí, con 7.7 m de carga</v>
      </c>
      <c r="I38" s="45" t="n">
        <f aca="false">Lt_B2</f>
        <v>126.25</v>
      </c>
    </row>
    <row r="39" customFormat="false" ht="42" hidden="false" customHeight="true" outlineLevel="0" collapsed="false">
      <c r="B39" s="67" t="s">
        <v>853</v>
      </c>
      <c r="C39" s="19" t="s">
        <v>854</v>
      </c>
      <c r="D39" s="18" t="s">
        <v>377</v>
      </c>
      <c r="E39" s="33" t="n">
        <f aca="false">IF(D39="Occidental",PK_occ,PK_ori)</f>
        <v>386.7</v>
      </c>
      <c r="F39" s="40" t="n">
        <v>378</v>
      </c>
      <c r="G39" s="41" t="n">
        <f aca="false">E39-F39</f>
        <v>8.69999999999999</v>
      </c>
      <c r="H39" s="49" t="str">
        <f aca="false">IF(G39&gt;=Margen_grav,"Sí, con "&amp;FIXED(G39,1)&amp;" m de carga",IF(G39&gt;0,"Carga baja: "&amp;FIXED(G39,1)&amp;" m","No: queda "&amp;FIXED(-G39,1)&amp;" m por encima del agua"))</f>
        <v>Sí, con 8.7 m de carga</v>
      </c>
      <c r="I39" s="45" t="n">
        <f aca="false">Lt_B3</f>
        <v>125.75</v>
      </c>
    </row>
    <row r="40" customFormat="false" ht="28.5" hidden="false" customHeight="true" outlineLevel="0" collapsed="false">
      <c r="B40" s="67" t="s">
        <v>855</v>
      </c>
      <c r="C40" s="19" t="s">
        <v>856</v>
      </c>
      <c r="D40" s="18" t="s">
        <v>377</v>
      </c>
      <c r="E40" s="33" t="n">
        <f aca="false">IF(D40="Occidental",PK_occ,PK_ori)</f>
        <v>386.7</v>
      </c>
      <c r="F40" s="40" t="n">
        <v>385</v>
      </c>
      <c r="G40" s="41" t="n">
        <f aca="false">E40-F40</f>
        <v>1.69999999999999</v>
      </c>
      <c r="H40" s="49" t="str">
        <f aca="false">IF(G40&gt;=Margen_grav,"Sí, con "&amp;FIXED(G40,1)&amp;" m de carga",IF(G40&gt;0,"Carga baja: "&amp;FIXED(G40,1)&amp;" m","No: queda "&amp;FIXED(-G40,1)&amp;" m por encima del agua"))</f>
        <v>Sí, con 1.7 m de carga</v>
      </c>
      <c r="I40" s="45" t="n">
        <f aca="false">Lt_B4</f>
        <v>232.375</v>
      </c>
    </row>
    <row r="42" customFormat="false" ht="15" hidden="false" customHeight="false" outlineLevel="0" collapsed="false">
      <c r="B42" s="2" t="s">
        <v>857</v>
      </c>
    </row>
    <row r="43" customFormat="false" ht="15" hidden="false" customHeight="false" outlineLevel="0" collapsed="false">
      <c r="B43" s="2" t="s">
        <v>858</v>
      </c>
    </row>
  </sheetData>
  <conditionalFormatting sqref="E13">
    <cfRule type="expression" priority="2" aboveAverage="0" equalAverage="0" bottom="0" percent="0" rank="0" text="" dxfId="0">
      <formula>OR(LEFT(E13,2)="Sí",LEFT(E13,8)="Coincide",LEFT(E13,6)="Cumple")</formula>
    </cfRule>
    <cfRule type="expression" priority="3" aboveAverage="0" equalAverage="0" bottom="0" percent="0" rank="0" text="" dxfId="1">
      <formula>OR(LEFT(E13,2)="No",LEFT(E13,7)="Revisar")</formula>
    </cfRule>
    <cfRule type="expression" priority="4" aboveAverage="0" equalAverage="0" bottom="0" percent="0" rank="0" text="" dxfId="2">
      <formula>OR(LEFT(E13,8)="Marginal",LEFT(E13,10)="Carga baja")</formula>
    </cfRule>
  </conditionalFormatting>
  <conditionalFormatting sqref="E27">
    <cfRule type="expression" priority="5" aboveAverage="0" equalAverage="0" bottom="0" percent="0" rank="0" text="" dxfId="0">
      <formula>OR(LEFT(E27,2)="Sí",LEFT(E27,8)="Coincide",LEFT(E27,6)="Cumple")</formula>
    </cfRule>
    <cfRule type="expression" priority="6" aboveAverage="0" equalAverage="0" bottom="0" percent="0" rank="0" text="" dxfId="1">
      <formula>OR(LEFT(E27,2)="No",LEFT(E27,7)="Revisar")</formula>
    </cfRule>
    <cfRule type="expression" priority="7" aboveAverage="0" equalAverage="0" bottom="0" percent="0" rank="0" text="" dxfId="2">
      <formula>OR(LEFT(E27,8)="Marginal",LEFT(E27,10)="Carga baja")</formula>
    </cfRule>
  </conditionalFormatting>
  <conditionalFormatting sqref="H37:H40">
    <cfRule type="expression" priority="8" aboveAverage="0" equalAverage="0" bottom="0" percent="0" rank="0" text="" dxfId="0">
      <formula>OR(LEFT(H37,2)="Sí",LEFT(H37,8)="Coincide",LEFT(H37,6)="Cumple")</formula>
    </cfRule>
    <cfRule type="expression" priority="9" aboveAverage="0" equalAverage="0" bottom="0" percent="0" rank="0" text="" dxfId="1">
      <formula>OR(LEFT(H37,2)="No",LEFT(H37,7)="Revisar")</formula>
    </cfRule>
    <cfRule type="expression" priority="10" aboveAverage="0" equalAverage="0" bottom="0" percent="0" rank="0" text="" dxfId="2">
      <formula>OR(LEFT(H37,8)="Marginal",LEFT(H37,10)="Carga baja")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859</v>
      </c>
    </row>
    <row r="3" customFormat="false" ht="15" hidden="false" customHeight="false" outlineLevel="0" collapsed="false">
      <c r="B3" s="2" t="s">
        <v>860</v>
      </c>
    </row>
    <row r="5" customFormat="false" ht="15" hidden="false" customHeight="false" outlineLevel="0" collapsed="false">
      <c r="B5" s="4" t="s">
        <v>861</v>
      </c>
      <c r="C5" s="5"/>
      <c r="D5" s="5"/>
      <c r="E5" s="5"/>
      <c r="F5" s="5"/>
      <c r="G5" s="5"/>
      <c r="H5" s="5"/>
    </row>
    <row r="6" customFormat="false" ht="28.5" hidden="false" customHeight="true" outlineLevel="0" collapsed="false">
      <c r="B6" s="16" t="s">
        <v>270</v>
      </c>
      <c r="C6" s="16" t="s">
        <v>375</v>
      </c>
      <c r="D6" s="16" t="s">
        <v>305</v>
      </c>
      <c r="E6" s="16" t="s">
        <v>862</v>
      </c>
      <c r="F6" s="16" t="s">
        <v>863</v>
      </c>
      <c r="G6" s="16" t="s">
        <v>71</v>
      </c>
      <c r="H6" s="16" t="s">
        <v>378</v>
      </c>
    </row>
    <row r="7" customFormat="false" ht="28.5" hidden="false" customHeight="true" outlineLevel="0" collapsed="false">
      <c r="B7" s="32" t="s">
        <v>864</v>
      </c>
      <c r="C7" s="19" t="s">
        <v>865</v>
      </c>
      <c r="D7" s="44" t="s">
        <v>583</v>
      </c>
      <c r="E7" s="33" t="n">
        <f aca="false">PK_occ</f>
        <v>387.7</v>
      </c>
      <c r="F7" s="33" t="n">
        <f aca="false">PK_ori</f>
        <v>386.7</v>
      </c>
      <c r="G7" s="25" t="s">
        <v>82</v>
      </c>
      <c r="H7" s="19" t="s">
        <v>866</v>
      </c>
    </row>
    <row r="8" customFormat="false" ht="15" hidden="false" customHeight="false" outlineLevel="0" collapsed="false">
      <c r="B8" s="32" t="s">
        <v>867</v>
      </c>
      <c r="C8" s="19" t="s">
        <v>868</v>
      </c>
      <c r="D8" s="44" t="s">
        <v>396</v>
      </c>
      <c r="E8" s="34" t="n">
        <f aca="false">Int_franjas</f>
        <v>12</v>
      </c>
      <c r="F8" s="34" t="n">
        <f aca="false">Int_franjas</f>
        <v>12</v>
      </c>
      <c r="G8" s="25" t="s">
        <v>82</v>
      </c>
      <c r="H8" s="19"/>
    </row>
    <row r="9" customFormat="false" ht="15" hidden="false" customHeight="false" outlineLevel="0" collapsed="false">
      <c r="B9" s="32" t="s">
        <v>869</v>
      </c>
      <c r="C9" s="19" t="s">
        <v>870</v>
      </c>
      <c r="D9" s="44" t="s">
        <v>871</v>
      </c>
      <c r="E9" s="38" t="n">
        <f aca="false">E7+E8</f>
        <v>399.7</v>
      </c>
      <c r="F9" s="38" t="n">
        <f aca="false">F7+F8</f>
        <v>398.7</v>
      </c>
      <c r="G9" s="25" t="s">
        <v>82</v>
      </c>
      <c r="H9" s="19"/>
    </row>
    <row r="10" customFormat="false" ht="42" hidden="false" customHeight="true" outlineLevel="0" collapsed="false">
      <c r="B10" s="32" t="s">
        <v>872</v>
      </c>
      <c r="C10" s="19" t="s">
        <v>873</v>
      </c>
      <c r="D10" s="44" t="s">
        <v>874</v>
      </c>
      <c r="E10" s="41" t="n">
        <f aca="false">Int_franjas-Desn_franja</f>
        <v>9</v>
      </c>
      <c r="G10" s="25" t="s">
        <v>82</v>
      </c>
      <c r="H10" s="19" t="s">
        <v>875</v>
      </c>
    </row>
    <row r="11" customFormat="false" ht="28.5" hidden="false" customHeight="true" outlineLevel="0" collapsed="false">
      <c r="B11" s="32" t="s">
        <v>876</v>
      </c>
      <c r="C11" s="19" t="s">
        <v>877</v>
      </c>
      <c r="D11" s="44" t="s">
        <v>605</v>
      </c>
      <c r="E11" s="45" t="n">
        <f aca="false">D_franjas</f>
        <v>106.25</v>
      </c>
      <c r="G11" s="25" t="s">
        <v>82</v>
      </c>
      <c r="H11" s="19"/>
    </row>
    <row r="12" customFormat="false" ht="28.5" hidden="false" customHeight="true" outlineLevel="0" collapsed="false">
      <c r="B12" s="32" t="s">
        <v>878</v>
      </c>
      <c r="C12" s="19" t="s">
        <v>879</v>
      </c>
      <c r="D12" s="44" t="s">
        <v>880</v>
      </c>
      <c r="E12" s="39" t="n">
        <f aca="false">Int_franjas/E11</f>
        <v>0.112941176470588</v>
      </c>
      <c r="G12" s="25" t="s">
        <v>254</v>
      </c>
      <c r="H12" s="19" t="s">
        <v>881</v>
      </c>
    </row>
    <row r="14" customFormat="false" ht="28.5" hidden="false" customHeight="true" outlineLevel="0" collapsed="false">
      <c r="B14" s="16"/>
      <c r="C14" s="16" t="s">
        <v>882</v>
      </c>
      <c r="D14" s="16" t="s">
        <v>305</v>
      </c>
      <c r="E14" s="16" t="s">
        <v>883</v>
      </c>
      <c r="F14" s="16"/>
      <c r="G14" s="16"/>
      <c r="H14" s="16" t="s">
        <v>533</v>
      </c>
    </row>
    <row r="15" customFormat="false" ht="28.5" hidden="false" customHeight="true" outlineLevel="0" collapsed="false">
      <c r="C15" s="68" t="n">
        <v>0.03</v>
      </c>
      <c r="D15" s="51" t="s">
        <v>884</v>
      </c>
      <c r="E15" s="37" t="n">
        <f aca="false">Int_franjas/C15</f>
        <v>400</v>
      </c>
      <c r="H15" s="19" t="s">
        <v>885</v>
      </c>
    </row>
    <row r="16" customFormat="false" ht="15" hidden="false" customHeight="false" outlineLevel="0" collapsed="false">
      <c r="C16" s="68" t="n">
        <v>0.05</v>
      </c>
      <c r="D16" s="51" t="s">
        <v>884</v>
      </c>
      <c r="E16" s="37" t="n">
        <f aca="false">Int_franjas/C16</f>
        <v>240</v>
      </c>
    </row>
    <row r="17" customFormat="false" ht="15" hidden="false" customHeight="false" outlineLevel="0" collapsed="false">
      <c r="C17" s="68" t="n">
        <v>0.08</v>
      </c>
      <c r="D17" s="51" t="s">
        <v>884</v>
      </c>
      <c r="E17" s="37" t="n">
        <f aca="false">Int_franjas/C17</f>
        <v>150</v>
      </c>
    </row>
    <row r="18" customFormat="false" ht="15" hidden="false" customHeight="false" outlineLevel="0" collapsed="false">
      <c r="C18" s="68" t="n">
        <v>0.12</v>
      </c>
      <c r="D18" s="51" t="s">
        <v>884</v>
      </c>
      <c r="E18" s="37" t="n">
        <f aca="false">Int_franjas/C18</f>
        <v>100</v>
      </c>
    </row>
    <row r="19" customFormat="false" ht="15" hidden="false" customHeight="false" outlineLevel="0" collapsed="false">
      <c r="C19" s="68" t="n">
        <v>0.2</v>
      </c>
      <c r="D19" s="51" t="s">
        <v>884</v>
      </c>
      <c r="E19" s="37" t="n">
        <f aca="false">Int_franjas/C19</f>
        <v>60</v>
      </c>
    </row>
    <row r="20" customFormat="false" ht="15" hidden="false" customHeight="false" outlineLevel="0" collapsed="false">
      <c r="C20" s="68" t="n">
        <v>0.33</v>
      </c>
      <c r="D20" s="51" t="s">
        <v>884</v>
      </c>
      <c r="E20" s="37" t="n">
        <f aca="false">Int_franjas/C20</f>
        <v>36.3636363636364</v>
      </c>
    </row>
    <row r="22" customFormat="false" ht="15" hidden="false" customHeight="false" outlineLevel="0" collapsed="false">
      <c r="B22" s="4" t="s">
        <v>886</v>
      </c>
      <c r="C22" s="5"/>
      <c r="D22" s="5"/>
      <c r="E22" s="5"/>
      <c r="F22" s="5"/>
      <c r="G22" s="5"/>
      <c r="H22" s="5"/>
    </row>
    <row r="23" customFormat="false" ht="15" hidden="false" customHeight="false" outlineLevel="0" collapsed="false">
      <c r="B23" s="2" t="s">
        <v>887</v>
      </c>
    </row>
    <row r="24" customFormat="false" ht="15" hidden="false" customHeight="false" outlineLevel="0" collapsed="false">
      <c r="C24" s="18" t="s">
        <v>888</v>
      </c>
      <c r="D24" s="36" t="n">
        <v>300.5</v>
      </c>
    </row>
    <row r="25" customFormat="false" ht="15" hidden="false" customHeight="false" outlineLevel="0" collapsed="false">
      <c r="C25" s="18" t="s">
        <v>889</v>
      </c>
      <c r="D25" s="36" t="n">
        <v>485.5</v>
      </c>
    </row>
    <row r="26" customFormat="false" ht="28.5" hidden="false" customHeight="true" outlineLevel="0" collapsed="false">
      <c r="B26" s="16" t="s">
        <v>299</v>
      </c>
      <c r="C26" s="16" t="s">
        <v>300</v>
      </c>
      <c r="D26" s="16" t="s">
        <v>890</v>
      </c>
      <c r="E26" s="16" t="s">
        <v>891</v>
      </c>
      <c r="F26" s="16" t="s">
        <v>892</v>
      </c>
      <c r="G26" s="16" t="s">
        <v>893</v>
      </c>
      <c r="H26" s="16" t="s">
        <v>894</v>
      </c>
    </row>
    <row r="27" customFormat="false" ht="15" hidden="false" customHeight="false" outlineLevel="0" collapsed="false">
      <c r="B27" s="25" t="s">
        <v>306</v>
      </c>
      <c r="C27" s="26" t="s">
        <v>895</v>
      </c>
      <c r="D27" s="40" t="n">
        <v>504</v>
      </c>
      <c r="E27" s="40" t="n">
        <v>193</v>
      </c>
      <c r="F27" s="41" t="n">
        <f aca="false">(D27-$D$24)*Escala</f>
        <v>254.375</v>
      </c>
      <c r="G27" s="41" t="n">
        <f aca="false">($D$25-E27)*Escala</f>
        <v>365.625</v>
      </c>
      <c r="H27" s="37" t="n">
        <f aca="false">F27*G28-F28*G27</f>
        <v>-15500</v>
      </c>
    </row>
    <row r="28" customFormat="false" ht="15" hidden="false" customHeight="false" outlineLevel="0" collapsed="false">
      <c r="B28" s="25" t="s">
        <v>308</v>
      </c>
      <c r="C28" s="26"/>
      <c r="D28" s="40" t="n">
        <v>524</v>
      </c>
      <c r="E28" s="40" t="n">
        <v>213</v>
      </c>
      <c r="F28" s="41" t="n">
        <f aca="false">(D28-$D$24)*Escala</f>
        <v>279.375</v>
      </c>
      <c r="G28" s="41" t="n">
        <f aca="false">($D$25-E28)*Escala</f>
        <v>340.625</v>
      </c>
      <c r="H28" s="37" t="n">
        <f aca="false">F28*G29-F29*G28</f>
        <v>-16547.65625</v>
      </c>
    </row>
    <row r="29" customFormat="false" ht="15" hidden="false" customHeight="false" outlineLevel="0" collapsed="false">
      <c r="B29" s="25" t="s">
        <v>310</v>
      </c>
      <c r="C29" s="26"/>
      <c r="D29" s="40" t="n">
        <v>544</v>
      </c>
      <c r="E29" s="40" t="n">
        <v>236</v>
      </c>
      <c r="F29" s="41" t="n">
        <f aca="false">(D29-$D$24)*Escala</f>
        <v>304.375</v>
      </c>
      <c r="G29" s="41" t="n">
        <f aca="false">($D$25-E29)*Escala</f>
        <v>311.875</v>
      </c>
      <c r="H29" s="37" t="n">
        <f aca="false">F29*G30-F30*G29</f>
        <v>-11221.09375</v>
      </c>
    </row>
    <row r="30" customFormat="false" ht="15" hidden="false" customHeight="false" outlineLevel="0" collapsed="false">
      <c r="B30" s="25" t="s">
        <v>311</v>
      </c>
      <c r="C30" s="26" t="s">
        <v>896</v>
      </c>
      <c r="D30" s="40" t="n">
        <v>564</v>
      </c>
      <c r="E30" s="40" t="n">
        <v>245</v>
      </c>
      <c r="F30" s="41" t="n">
        <f aca="false">(D30-$D$24)*Escala</f>
        <v>329.375</v>
      </c>
      <c r="G30" s="41" t="n">
        <f aca="false">($D$25-E30)*Escala</f>
        <v>300.625</v>
      </c>
      <c r="H30" s="37" t="n">
        <f aca="false">F30*G31-F31*G30</f>
        <v>-5045.3125</v>
      </c>
    </row>
    <row r="31" customFormat="false" ht="15" hidden="false" customHeight="false" outlineLevel="0" collapsed="false">
      <c r="B31" s="25" t="s">
        <v>312</v>
      </c>
      <c r="C31" s="26"/>
      <c r="D31" s="40" t="n">
        <v>584</v>
      </c>
      <c r="E31" s="40" t="n">
        <v>239</v>
      </c>
      <c r="F31" s="41" t="n">
        <f aca="false">(D31-$D$24)*Escala</f>
        <v>354.375</v>
      </c>
      <c r="G31" s="41" t="n">
        <f aca="false">($D$25-E31)*Escala</f>
        <v>308.125</v>
      </c>
      <c r="H31" s="37" t="n">
        <f aca="false">F31*G32-F32*G31</f>
        <v>-615.625</v>
      </c>
    </row>
    <row r="32" customFormat="false" ht="15" hidden="false" customHeight="false" outlineLevel="0" collapsed="false">
      <c r="B32" s="25" t="s">
        <v>313</v>
      </c>
      <c r="C32" s="26"/>
      <c r="D32" s="40" t="n">
        <v>604</v>
      </c>
      <c r="E32" s="40" t="n">
        <v>223</v>
      </c>
      <c r="F32" s="41" t="n">
        <f aca="false">(D32-$D$24)*Escala</f>
        <v>379.375</v>
      </c>
      <c r="G32" s="41" t="n">
        <f aca="false">($D$25-E32)*Escala</f>
        <v>328.125</v>
      </c>
      <c r="H32" s="37" t="n">
        <f aca="false">F32*G33-F33*G32</f>
        <v>-141.40625</v>
      </c>
    </row>
    <row r="33" customFormat="false" ht="15" hidden="false" customHeight="false" outlineLevel="0" collapsed="false">
      <c r="B33" s="25" t="s">
        <v>314</v>
      </c>
      <c r="C33" s="26"/>
      <c r="D33" s="40" t="n">
        <v>624</v>
      </c>
      <c r="E33" s="40" t="n">
        <v>206</v>
      </c>
      <c r="F33" s="41" t="n">
        <f aca="false">(D33-$D$24)*Escala</f>
        <v>404.375</v>
      </c>
      <c r="G33" s="41" t="n">
        <f aca="false">($D$25-E33)*Escala</f>
        <v>349.375</v>
      </c>
      <c r="H33" s="37" t="n">
        <f aca="false">F33*G34-F34*G33</f>
        <v>-278.90625</v>
      </c>
    </row>
    <row r="34" customFormat="false" ht="15" hidden="false" customHeight="false" outlineLevel="0" collapsed="false">
      <c r="B34" s="25" t="s">
        <v>315</v>
      </c>
      <c r="C34" s="26" t="s">
        <v>897</v>
      </c>
      <c r="D34" s="40" t="n">
        <v>642</v>
      </c>
      <c r="E34" s="40" t="n">
        <v>191</v>
      </c>
      <c r="F34" s="41" t="n">
        <f aca="false">(D34-$D$24)*Escala</f>
        <v>426.875</v>
      </c>
      <c r="G34" s="41" t="n">
        <f aca="false">($D$25-E34)*Escala</f>
        <v>368.125</v>
      </c>
      <c r="H34" s="37" t="n">
        <f aca="false">F34*G35-F35*G34</f>
        <v>-27746.875</v>
      </c>
    </row>
    <row r="35" customFormat="false" ht="15" hidden="false" customHeight="false" outlineLevel="0" collapsed="false">
      <c r="B35" s="25" t="s">
        <v>323</v>
      </c>
      <c r="C35" s="26" t="s">
        <v>898</v>
      </c>
      <c r="D35" s="40" t="n">
        <v>642</v>
      </c>
      <c r="E35" s="40" t="n">
        <v>243</v>
      </c>
      <c r="F35" s="41" t="n">
        <f aca="false">(D35-$D$24)*Escala</f>
        <v>426.875</v>
      </c>
      <c r="G35" s="41" t="n">
        <f aca="false">($D$25-E35)*Escala</f>
        <v>303.125</v>
      </c>
      <c r="H35" s="37" t="n">
        <f aca="false">F35*G36-F36*G35</f>
        <v>-15590.625</v>
      </c>
    </row>
    <row r="36" customFormat="false" ht="15" hidden="false" customHeight="false" outlineLevel="0" collapsed="false">
      <c r="B36" s="25" t="s">
        <v>899</v>
      </c>
      <c r="C36" s="26"/>
      <c r="D36" s="40" t="n">
        <v>624</v>
      </c>
      <c r="E36" s="40" t="n">
        <v>285</v>
      </c>
      <c r="F36" s="41" t="n">
        <f aca="false">(D36-$D$24)*Escala</f>
        <v>404.375</v>
      </c>
      <c r="G36" s="41" t="n">
        <f aca="false">($D$25-E36)*Escala</f>
        <v>250.625</v>
      </c>
      <c r="H36" s="37" t="n">
        <f aca="false">F36*G37-F37*G36</f>
        <v>-8898.4375</v>
      </c>
    </row>
    <row r="37" customFormat="false" ht="15" hidden="false" customHeight="false" outlineLevel="0" collapsed="false">
      <c r="B37" s="25" t="s">
        <v>900</v>
      </c>
      <c r="C37" s="26"/>
      <c r="D37" s="40" t="n">
        <v>604</v>
      </c>
      <c r="E37" s="40" t="n">
        <v>315</v>
      </c>
      <c r="F37" s="41" t="n">
        <f aca="false">(D37-$D$24)*Escala</f>
        <v>379.375</v>
      </c>
      <c r="G37" s="41" t="n">
        <f aca="false">($D$25-E37)*Escala</f>
        <v>213.125</v>
      </c>
      <c r="H37" s="37" t="n">
        <f aca="false">F37*G38-F38*G37</f>
        <v>-836.71875</v>
      </c>
    </row>
    <row r="38" customFormat="false" ht="15" hidden="false" customHeight="false" outlineLevel="0" collapsed="false">
      <c r="B38" s="25" t="s">
        <v>901</v>
      </c>
      <c r="C38" s="26" t="s">
        <v>902</v>
      </c>
      <c r="D38" s="40" t="n">
        <v>584</v>
      </c>
      <c r="E38" s="40" t="n">
        <v>328</v>
      </c>
      <c r="F38" s="41" t="n">
        <f aca="false">(D38-$D$24)*Escala</f>
        <v>354.375</v>
      </c>
      <c r="G38" s="41" t="n">
        <f aca="false">($D$25-E38)*Escala</f>
        <v>196.875</v>
      </c>
      <c r="H38" s="37" t="n">
        <f aca="false">F38*G39-F39*G38</f>
        <v>4921.875</v>
      </c>
    </row>
    <row r="39" customFormat="false" ht="15" hidden="false" customHeight="false" outlineLevel="0" collapsed="false">
      <c r="B39" s="25" t="s">
        <v>903</v>
      </c>
      <c r="C39" s="26"/>
      <c r="D39" s="40" t="n">
        <v>564</v>
      </c>
      <c r="E39" s="40" t="n">
        <v>328</v>
      </c>
      <c r="F39" s="41" t="n">
        <f aca="false">(D39-$D$24)*Escala</f>
        <v>329.375</v>
      </c>
      <c r="G39" s="41" t="n">
        <f aca="false">($D$25-E39)*Escala</f>
        <v>196.875</v>
      </c>
      <c r="H39" s="37" t="n">
        <f aca="false">F39*G40-F40*G39</f>
        <v>9039.0625</v>
      </c>
    </row>
    <row r="40" customFormat="false" ht="15" hidden="false" customHeight="false" outlineLevel="0" collapsed="false">
      <c r="B40" s="25" t="s">
        <v>904</v>
      </c>
      <c r="C40" s="26"/>
      <c r="D40" s="40" t="n">
        <v>544</v>
      </c>
      <c r="E40" s="40" t="n">
        <v>318</v>
      </c>
      <c r="F40" s="41" t="n">
        <f aca="false">(D40-$D$24)*Escala</f>
        <v>304.375</v>
      </c>
      <c r="G40" s="41" t="n">
        <f aca="false">($D$25-E40)*Escala</f>
        <v>209.375</v>
      </c>
      <c r="H40" s="37" t="n">
        <f aca="false">F40*G41-F41*G40</f>
        <v>12843.75</v>
      </c>
    </row>
    <row r="41" customFormat="false" ht="15" hidden="false" customHeight="false" outlineLevel="0" collapsed="false">
      <c r="B41" s="25" t="s">
        <v>905</v>
      </c>
      <c r="C41" s="26"/>
      <c r="D41" s="40" t="n">
        <v>524</v>
      </c>
      <c r="E41" s="40" t="n">
        <v>298</v>
      </c>
      <c r="F41" s="41" t="n">
        <f aca="false">(D41-$D$24)*Escala</f>
        <v>279.375</v>
      </c>
      <c r="G41" s="41" t="n">
        <f aca="false">($D$25-E41)*Escala</f>
        <v>234.375</v>
      </c>
      <c r="H41" s="37" t="n">
        <f aca="false">F41*G42-F42*G41</f>
        <v>17383.59375</v>
      </c>
    </row>
    <row r="42" customFormat="false" ht="15" hidden="false" customHeight="false" outlineLevel="0" collapsed="false">
      <c r="B42" s="25" t="s">
        <v>906</v>
      </c>
      <c r="C42" s="26" t="s">
        <v>907</v>
      </c>
      <c r="D42" s="40" t="n">
        <v>504</v>
      </c>
      <c r="E42" s="40" t="n">
        <v>265</v>
      </c>
      <c r="F42" s="41" t="n">
        <f aca="false">(D42-$D$24)*Escala</f>
        <v>254.375</v>
      </c>
      <c r="G42" s="41" t="n">
        <f aca="false">($D$25-E42)*Escala</f>
        <v>275.625</v>
      </c>
      <c r="H42" s="37" t="n">
        <f aca="false">F42*G27-F27*G42</f>
        <v>22893.75</v>
      </c>
    </row>
    <row r="43" customFormat="false" ht="15" hidden="false" customHeight="false" outlineLevel="0" collapsed="false">
      <c r="B43" s="32" t="s">
        <v>908</v>
      </c>
      <c r="C43" s="19" t="s">
        <v>909</v>
      </c>
      <c r="D43" s="44" t="s">
        <v>910</v>
      </c>
      <c r="E43" s="56" t="n">
        <f aca="false">ABS(SUM(H27:H42))/2/10000</f>
        <v>1.76703125</v>
      </c>
      <c r="G43" s="25" t="s">
        <v>77</v>
      </c>
      <c r="H43" s="19" t="s">
        <v>911</v>
      </c>
    </row>
    <row r="44" customFormat="false" ht="15" hidden="false" customHeight="false" outlineLevel="0" collapsed="false">
      <c r="B44" s="32" t="s">
        <v>912</v>
      </c>
      <c r="C44" s="19" t="s">
        <v>913</v>
      </c>
      <c r="D44" s="44" t="s">
        <v>914</v>
      </c>
      <c r="E44" s="52" t="n">
        <f aca="false">Area_cacao/Cacao_meta</f>
        <v>0.883515625</v>
      </c>
      <c r="G44" s="25" t="s">
        <v>254</v>
      </c>
      <c r="H44" s="19" t="s">
        <v>915</v>
      </c>
    </row>
    <row r="45" customFormat="false" ht="15" hidden="false" customHeight="false" outlineLevel="0" collapsed="false">
      <c r="B45" s="32" t="s">
        <v>916</v>
      </c>
      <c r="C45" s="19" t="s">
        <v>917</v>
      </c>
      <c r="D45" s="44" t="s">
        <v>918</v>
      </c>
      <c r="E45" s="37" t="n">
        <f aca="false">10000/Dist_cacao^2</f>
        <v>1111.11111111111</v>
      </c>
      <c r="G45" s="25" t="s">
        <v>919</v>
      </c>
      <c r="H45" s="19" t="s">
        <v>920</v>
      </c>
    </row>
    <row r="46" customFormat="false" ht="15" hidden="false" customHeight="false" outlineLevel="0" collapsed="false">
      <c r="B46" s="32" t="s">
        <v>921</v>
      </c>
      <c r="C46" s="19" t="s">
        <v>922</v>
      </c>
      <c r="D46" s="44" t="s">
        <v>923</v>
      </c>
      <c r="E46" s="43" t="n">
        <f aca="false">Area_cacao*E45</f>
        <v>1963.36805555556</v>
      </c>
      <c r="G46" s="25" t="s">
        <v>924</v>
      </c>
      <c r="H46" s="19" t="s">
        <v>925</v>
      </c>
    </row>
    <row r="48" customFormat="false" ht="15" hidden="false" customHeight="false" outlineLevel="0" collapsed="false">
      <c r="B48" s="4" t="s">
        <v>926</v>
      </c>
      <c r="C48" s="5"/>
      <c r="D48" s="5"/>
      <c r="E48" s="5"/>
      <c r="F48" s="5"/>
      <c r="G48" s="5"/>
      <c r="H48" s="5"/>
    </row>
    <row r="49" customFormat="false" ht="28.5" hidden="false" customHeight="true" outlineLevel="0" collapsed="false">
      <c r="B49" s="32" t="s">
        <v>927</v>
      </c>
      <c r="C49" s="19" t="s">
        <v>928</v>
      </c>
      <c r="D49" s="44" t="s">
        <v>929</v>
      </c>
      <c r="E49" s="34" t="n">
        <f aca="false">Ronda</f>
        <v>30</v>
      </c>
      <c r="G49" s="25" t="s">
        <v>82</v>
      </c>
      <c r="H49" s="19" t="s">
        <v>930</v>
      </c>
    </row>
    <row r="50" customFormat="false" ht="28.5" hidden="false" customHeight="true" outlineLevel="0" collapsed="false">
      <c r="B50" s="32" t="s">
        <v>931</v>
      </c>
      <c r="C50" s="19" t="s">
        <v>932</v>
      </c>
      <c r="D50" s="44" t="s">
        <v>605</v>
      </c>
      <c r="E50" s="33" t="n">
        <f aca="false">Ronda_dib</f>
        <v>27.5</v>
      </c>
      <c r="G50" s="25" t="s">
        <v>82</v>
      </c>
      <c r="H50" s="19" t="s">
        <v>933</v>
      </c>
    </row>
    <row r="51" customFormat="false" ht="28.5" hidden="false" customHeight="true" outlineLevel="0" collapsed="false">
      <c r="B51" s="32" t="s">
        <v>934</v>
      </c>
      <c r="C51" s="19" t="s">
        <v>935</v>
      </c>
      <c r="D51" s="44" t="s">
        <v>605</v>
      </c>
      <c r="E51" s="45" t="n">
        <f aca="false">L_cano</f>
        <v>691.25</v>
      </c>
      <c r="G51" s="25" t="s">
        <v>82</v>
      </c>
      <c r="H51" s="19"/>
    </row>
    <row r="52" customFormat="false" ht="28.5" hidden="false" customHeight="true" outlineLevel="0" collapsed="false">
      <c r="B52" s="32" t="s">
        <v>936</v>
      </c>
      <c r="C52" s="19" t="s">
        <v>937</v>
      </c>
      <c r="D52" s="44" t="s">
        <v>938</v>
      </c>
      <c r="E52" s="56" t="n">
        <f aca="false">E51*E49/10000</f>
        <v>2.07375</v>
      </c>
      <c r="G52" s="25" t="s">
        <v>77</v>
      </c>
      <c r="H52" s="19" t="s">
        <v>939</v>
      </c>
    </row>
    <row r="53" customFormat="false" ht="15" hidden="false" customHeight="false" outlineLevel="0" collapsed="false">
      <c r="B53" s="32" t="s">
        <v>940</v>
      </c>
      <c r="C53" s="19" t="s">
        <v>941</v>
      </c>
      <c r="D53" s="44" t="s">
        <v>942</v>
      </c>
      <c r="E53" s="45" t="n">
        <f aca="false">L_franjas</f>
        <v>1787.5</v>
      </c>
      <c r="G53" s="25" t="s">
        <v>82</v>
      </c>
      <c r="H53" s="19"/>
    </row>
    <row r="54" customFormat="false" ht="15" hidden="false" customHeight="false" outlineLevel="0" collapsed="false">
      <c r="B54" s="32" t="s">
        <v>943</v>
      </c>
      <c r="C54" s="19" t="s">
        <v>944</v>
      </c>
      <c r="D54" s="44" t="s">
        <v>945</v>
      </c>
      <c r="E54" s="56" t="n">
        <f aca="false">E53*Ancho_franja/10000</f>
        <v>1.7875</v>
      </c>
      <c r="G54" s="25" t="s">
        <v>77</v>
      </c>
      <c r="H54" s="19" t="s">
        <v>946</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36"/>
    <col collapsed="false" customWidth="true" hidden="false" outlineLevel="0" max="4" min="4" style="0" width="40"/>
    <col collapsed="false" customWidth="true" hidden="false" outlineLevel="0" max="6" min="5" style="0" width="15"/>
    <col collapsed="false" customWidth="true" hidden="false" outlineLevel="0" max="7" min="7" style="0" width="11"/>
    <col collapsed="false" customWidth="true" hidden="false" outlineLevel="0" max="8" min="8" style="0" width="66"/>
  </cols>
  <sheetData>
    <row r="2" customFormat="false" ht="18.55" hidden="false" customHeight="false" outlineLevel="0" collapsed="false">
      <c r="B2" s="23" t="s">
        <v>947</v>
      </c>
    </row>
    <row r="3" customFormat="false" ht="15" hidden="false" customHeight="false" outlineLevel="0" collapsed="false">
      <c r="B3" s="2" t="s">
        <v>948</v>
      </c>
    </row>
    <row r="5" customFormat="false" ht="15" hidden="false" customHeight="false" outlineLevel="0" collapsed="false">
      <c r="B5" s="4" t="s">
        <v>949</v>
      </c>
      <c r="C5" s="5"/>
      <c r="D5" s="5"/>
      <c r="E5" s="5"/>
      <c r="F5" s="5"/>
      <c r="G5" s="5"/>
      <c r="H5" s="5"/>
    </row>
    <row r="6" customFormat="false" ht="15" hidden="false" customHeight="false" outlineLevel="0" collapsed="false">
      <c r="B6" s="16" t="s">
        <v>270</v>
      </c>
      <c r="C6" s="16" t="s">
        <v>950</v>
      </c>
      <c r="D6" s="16" t="s">
        <v>951</v>
      </c>
      <c r="E6" s="16" t="s">
        <v>952</v>
      </c>
      <c r="F6" s="16"/>
      <c r="G6" s="16"/>
      <c r="H6" s="16" t="s">
        <v>259</v>
      </c>
    </row>
    <row r="7" customFormat="false" ht="15" hidden="false" customHeight="false" outlineLevel="0" collapsed="false">
      <c r="B7" s="32" t="s">
        <v>953</v>
      </c>
      <c r="C7" s="19" t="s">
        <v>76</v>
      </c>
      <c r="D7" s="44" t="s">
        <v>954</v>
      </c>
      <c r="E7" s="59" t="n">
        <f aca="false">Area_predio</f>
        <v>35</v>
      </c>
      <c r="H7" s="19"/>
    </row>
    <row r="8" customFormat="false" ht="28.5" hidden="false" customHeight="true" outlineLevel="0" collapsed="false">
      <c r="B8" s="32" t="s">
        <v>955</v>
      </c>
      <c r="C8" s="19" t="s">
        <v>956</v>
      </c>
      <c r="D8" s="44" t="s">
        <v>957</v>
      </c>
      <c r="E8" s="48" t="n">
        <f aca="false">(Espejo_occ+Espejo_ori)/10000</f>
        <v>1.14</v>
      </c>
      <c r="H8" s="19" t="s">
        <v>958</v>
      </c>
    </row>
    <row r="9" customFormat="false" ht="15" hidden="false" customHeight="false" outlineLevel="0" collapsed="false">
      <c r="B9" s="32" t="s">
        <v>959</v>
      </c>
      <c r="C9" s="19" t="s">
        <v>960</v>
      </c>
      <c r="D9" s="44" t="s">
        <v>961</v>
      </c>
      <c r="E9" s="59" t="n">
        <f aca="false">Area_cacao</f>
        <v>1.76703125</v>
      </c>
      <c r="H9" s="19"/>
    </row>
    <row r="10" customFormat="false" ht="15" hidden="false" customHeight="false" outlineLevel="0" collapsed="false">
      <c r="B10" s="32" t="s">
        <v>962</v>
      </c>
      <c r="C10" s="19" t="s">
        <v>963</v>
      </c>
      <c r="D10" s="44" t="s">
        <v>964</v>
      </c>
      <c r="E10" s="59" t="n">
        <f aca="false">Area_ronda</f>
        <v>2.07375</v>
      </c>
      <c r="H10" s="19"/>
    </row>
    <row r="11" customFormat="false" ht="28.5" hidden="false" customHeight="true" outlineLevel="0" collapsed="false">
      <c r="B11" s="32" t="s">
        <v>965</v>
      </c>
      <c r="C11" s="19" t="s">
        <v>966</v>
      </c>
      <c r="D11" s="44" t="s">
        <v>967</v>
      </c>
      <c r="E11" s="59" t="n">
        <f aca="false">Area_franjas</f>
        <v>1.7875</v>
      </c>
      <c r="H11" s="19" t="s">
        <v>968</v>
      </c>
    </row>
    <row r="12" customFormat="false" ht="23.85" hidden="false" customHeight="false" outlineLevel="0" collapsed="false">
      <c r="B12" s="32" t="s">
        <v>969</v>
      </c>
      <c r="C12" s="19" t="s">
        <v>970</v>
      </c>
      <c r="D12" s="44" t="s">
        <v>971</v>
      </c>
      <c r="E12" s="48" t="n">
        <f aca="false">(Lc_1+Lc_2+Lc_3)*Ancho_camino/10000</f>
        <v>0.4805</v>
      </c>
      <c r="H12" s="19" t="s">
        <v>972</v>
      </c>
    </row>
    <row r="13" customFormat="false" ht="15" hidden="false" customHeight="false" outlineLevel="0" collapsed="false">
      <c r="B13" s="32" t="s">
        <v>973</v>
      </c>
      <c r="C13" s="19" t="s">
        <v>228</v>
      </c>
      <c r="D13" s="44" t="s">
        <v>608</v>
      </c>
      <c r="E13" s="59" t="n">
        <f aca="false">Area_constr</f>
        <v>0.2</v>
      </c>
      <c r="H13" s="19"/>
    </row>
    <row r="14" customFormat="false" ht="28.5" hidden="false" customHeight="true" outlineLevel="0" collapsed="false">
      <c r="B14" s="32" t="s">
        <v>974</v>
      </c>
      <c r="C14" s="42" t="s">
        <v>975</v>
      </c>
      <c r="D14" s="51" t="s">
        <v>976</v>
      </c>
      <c r="E14" s="56" t="n">
        <f aca="false">E7-SUM(E8:E13)</f>
        <v>27.55121875</v>
      </c>
      <c r="H14" s="19" t="s">
        <v>977</v>
      </c>
    </row>
    <row r="16" customFormat="false" ht="15" hidden="false" customHeight="false" outlineLevel="0" collapsed="false">
      <c r="B16" s="4" t="s">
        <v>978</v>
      </c>
      <c r="C16" s="5"/>
      <c r="D16" s="5"/>
      <c r="E16" s="5"/>
      <c r="F16" s="5"/>
      <c r="G16" s="5"/>
      <c r="H16" s="5"/>
    </row>
    <row r="17" customFormat="false" ht="15" hidden="false" customHeight="false" outlineLevel="0" collapsed="false">
      <c r="B17" s="16" t="s">
        <v>270</v>
      </c>
      <c r="C17" s="16" t="s">
        <v>375</v>
      </c>
      <c r="D17" s="16" t="s">
        <v>305</v>
      </c>
      <c r="E17" s="16" t="s">
        <v>70</v>
      </c>
      <c r="F17" s="16"/>
      <c r="G17" s="16" t="s">
        <v>71</v>
      </c>
      <c r="H17" s="16" t="s">
        <v>378</v>
      </c>
    </row>
    <row r="18" customFormat="false" ht="28.5" hidden="false" customHeight="true" outlineLevel="0" collapsed="false">
      <c r="B18" s="32" t="s">
        <v>979</v>
      </c>
      <c r="C18" s="19" t="s">
        <v>980</v>
      </c>
      <c r="D18" s="44" t="s">
        <v>981</v>
      </c>
      <c r="E18" s="56" t="n">
        <f aca="false">Area_pasto/N_potreros</f>
        <v>2.29593489583333</v>
      </c>
      <c r="G18" s="25" t="s">
        <v>77</v>
      </c>
      <c r="H18" s="19" t="s">
        <v>982</v>
      </c>
    </row>
    <row r="19" customFormat="false" ht="15" hidden="false" customHeight="false" outlineLevel="0" collapsed="false">
      <c r="B19" s="32" t="s">
        <v>983</v>
      </c>
      <c r="C19" s="19" t="s">
        <v>984</v>
      </c>
      <c r="D19" s="44" t="s">
        <v>985</v>
      </c>
      <c r="E19" s="48" t="n">
        <f aca="false">N_reses/Area_pasto</f>
        <v>1.45184139993807</v>
      </c>
      <c r="G19" s="25" t="s">
        <v>986</v>
      </c>
      <c r="H19" s="19"/>
    </row>
    <row r="20" customFormat="false" ht="28.5" hidden="false" customHeight="true" outlineLevel="0" collapsed="false">
      <c r="B20" s="32" t="s">
        <v>987</v>
      </c>
      <c r="C20" s="19" t="s">
        <v>230</v>
      </c>
      <c r="D20" s="44" t="s">
        <v>608</v>
      </c>
      <c r="E20" s="34" t="n">
        <f aca="false">Descanso</f>
        <v>35</v>
      </c>
      <c r="G20" s="25" t="s">
        <v>89</v>
      </c>
      <c r="H20" s="19"/>
    </row>
    <row r="21" customFormat="false" ht="15" hidden="false" customHeight="false" outlineLevel="0" collapsed="false">
      <c r="B21" s="32" t="s">
        <v>988</v>
      </c>
      <c r="C21" s="19" t="s">
        <v>989</v>
      </c>
      <c r="D21" s="44" t="s">
        <v>990</v>
      </c>
      <c r="E21" s="38" t="n">
        <f aca="false">Descanso/(N_potreros-1)</f>
        <v>3.18181818181818</v>
      </c>
      <c r="G21" s="25" t="s">
        <v>89</v>
      </c>
      <c r="H21" s="19" t="s">
        <v>991</v>
      </c>
    </row>
    <row r="22" customFormat="false" ht="15" hidden="false" customHeight="false" outlineLevel="0" collapsed="false">
      <c r="B22" s="32" t="s">
        <v>992</v>
      </c>
      <c r="C22" s="19" t="s">
        <v>993</v>
      </c>
      <c r="D22" s="44" t="s">
        <v>994</v>
      </c>
      <c r="E22" s="62" t="n">
        <f aca="false">E21*N_potreros</f>
        <v>38.1818181818182</v>
      </c>
      <c r="G22" s="25" t="s">
        <v>89</v>
      </c>
      <c r="H22" s="19"/>
    </row>
    <row r="23" customFormat="false" ht="28.5" hidden="false" customHeight="true" outlineLevel="0" collapsed="false">
      <c r="B23" s="32" t="s">
        <v>995</v>
      </c>
      <c r="C23" s="19" t="s">
        <v>996</v>
      </c>
      <c r="D23" s="44" t="s">
        <v>997</v>
      </c>
      <c r="E23" s="41" t="n">
        <f aca="false">N_reses/E18</f>
        <v>17.4220967992568</v>
      </c>
      <c r="G23" s="25" t="s">
        <v>986</v>
      </c>
      <c r="H23" s="19" t="s">
        <v>998</v>
      </c>
    </row>
    <row r="25" customFormat="false" ht="15" hidden="false" customHeight="false" outlineLevel="0" collapsed="false">
      <c r="B25" s="4" t="s">
        <v>999</v>
      </c>
      <c r="C25" s="5"/>
      <c r="D25" s="5"/>
      <c r="E25" s="5"/>
      <c r="F25" s="5"/>
      <c r="G25" s="5"/>
      <c r="H25" s="5"/>
    </row>
    <row r="26" customFormat="false" ht="28.5" hidden="false" customHeight="true" outlineLevel="0" collapsed="false">
      <c r="B26" s="16"/>
      <c r="C26" s="16" t="s">
        <v>1000</v>
      </c>
      <c r="D26" s="16" t="s">
        <v>1001</v>
      </c>
      <c r="E26" s="16" t="s">
        <v>1002</v>
      </c>
      <c r="F26" s="16" t="s">
        <v>1003</v>
      </c>
      <c r="G26" s="16" t="s">
        <v>1004</v>
      </c>
      <c r="H26" s="16" t="s">
        <v>558</v>
      </c>
    </row>
    <row r="27" customFormat="false" ht="15" hidden="false" customHeight="false" outlineLevel="0" collapsed="false">
      <c r="C27" s="42" t="s">
        <v>1005</v>
      </c>
      <c r="D27" s="18" t="s">
        <v>1006</v>
      </c>
      <c r="E27" s="33" t="n">
        <f aca="false">Cota_cano</f>
        <v>370</v>
      </c>
      <c r="F27" s="33" t="n">
        <f aca="false">MAX(PK_occ,PK_ori)</f>
        <v>387.7</v>
      </c>
      <c r="G27" s="41" t="n">
        <f aca="false">MAX(PK_occ,PK_ori)-E27</f>
        <v>17.7</v>
      </c>
      <c r="H27" s="49" t="str">
        <f aca="false">IF(G27&gt;Margen_grav,"Sí: toda la banda queda bajo el agua de las represas",IF(G27&gt;0,"Marginal: solo el borde bajo, con "&amp;FIXED(G27,1)&amp;" m de carga","No: toda la banda queda por encima del agua"))</f>
        <v>Sí: toda la banda queda bajo el agua de las represas</v>
      </c>
    </row>
    <row r="28" customFormat="false" ht="15" hidden="false" customHeight="false" outlineLevel="0" collapsed="false">
      <c r="C28" s="42" t="s">
        <v>1007</v>
      </c>
      <c r="D28" s="18" t="s">
        <v>1008</v>
      </c>
      <c r="E28" s="33" t="n">
        <f aca="false">MIN(PK_occ,PK_ori)</f>
        <v>386.7</v>
      </c>
      <c r="F28" s="33" t="n">
        <f aca="false">MAX(Franja2_occ,Franja2_ori)</f>
        <v>399.7</v>
      </c>
      <c r="G28" s="41" t="n">
        <f aca="false">MAX(PK_occ,PK_ori)-E28</f>
        <v>1</v>
      </c>
      <c r="H28" s="49" t="str">
        <f aca="false">IF(G28&gt;Margen_grav,"Sí: toda la banda queda bajo el agua de las represas",IF(G28&gt;0,"Marginal: solo el borde bajo, con "&amp;FIXED(G28,1)&amp;" m de carga","No: toda la banda queda por encima del agua"))</f>
        <v>Marginal: solo el borde bajo, con 1.0 m de carga</v>
      </c>
    </row>
    <row r="29" customFormat="false" ht="15" hidden="false" customHeight="false" outlineLevel="0" collapsed="false">
      <c r="C29" s="42" t="s">
        <v>1009</v>
      </c>
      <c r="D29" s="18" t="s">
        <v>1010</v>
      </c>
      <c r="E29" s="33" t="n">
        <f aca="false">MIN(Franja2_occ,Franja2_ori)</f>
        <v>398.7</v>
      </c>
      <c r="F29" s="33" t="n">
        <f aca="false">Cota_max</f>
        <v>412</v>
      </c>
      <c r="G29" s="41" t="n">
        <f aca="false">MAX(PK_occ,PK_ori)-E29</f>
        <v>-11</v>
      </c>
      <c r="H29" s="49" t="str">
        <f aca="false">IF(G29&gt;Margen_grav,"Sí: toda la banda queda bajo el agua de las represas",IF(G29&gt;0,"Marginal: solo el borde bajo, con "&amp;FIXED(G29,1)&amp;" m de carga","No: toda la banda queda por encima del agua"))</f>
        <v>No: toda la banda queda por encima del agua</v>
      </c>
    </row>
    <row r="30" customFormat="false" ht="15" hidden="false" customHeight="false" outlineLevel="0" collapsed="false">
      <c r="B30" s="2" t="s">
        <v>1011</v>
      </c>
    </row>
    <row r="32" customFormat="false" ht="28.5" hidden="false" customHeight="true" outlineLevel="0" collapsed="false">
      <c r="B32" s="16"/>
      <c r="C32" s="16" t="s">
        <v>1012</v>
      </c>
      <c r="D32" s="16" t="s">
        <v>1000</v>
      </c>
      <c r="E32" s="16" t="s">
        <v>1013</v>
      </c>
      <c r="F32" s="16" t="s">
        <v>1014</v>
      </c>
      <c r="G32" s="16"/>
      <c r="H32" s="16" t="s">
        <v>1015</v>
      </c>
    </row>
    <row r="33" customFormat="false" ht="15" hidden="false" customHeight="false" outlineLevel="0" collapsed="false">
      <c r="C33" s="67" t="s">
        <v>1016</v>
      </c>
      <c r="D33" s="25" t="s">
        <v>1017</v>
      </c>
      <c r="E33" s="25" t="n">
        <v>1</v>
      </c>
      <c r="F33" s="25"/>
      <c r="H33" s="49" t="str">
        <f aca="false">IF(F33&lt;&gt;"","Bebedero "&amp;F33&amp;": "&amp;INDEX(Tabla_bebederos,MATCH(F33,INDEX(Tabla_bebederos,0,1),0),7),IF(LEFT(Banda_baja,2)="Sí","Falta bebedero: la banda queda bajo el agua y puede recibirlo",IF(LEFT(Banda_baja,8)="Marginal","Marginal: la banda queda casi a nivel del agua","No: la banda queda por encima del agua")))</f>
        <v>Falta bebedero: la banda queda bajo el agua y puede recibirlo</v>
      </c>
    </row>
    <row r="34" customFormat="false" ht="15" hidden="false" customHeight="false" outlineLevel="0" collapsed="false">
      <c r="C34" s="67" t="s">
        <v>1018</v>
      </c>
      <c r="D34" s="25" t="s">
        <v>1017</v>
      </c>
      <c r="E34" s="25" t="n">
        <v>2</v>
      </c>
      <c r="F34" s="25" t="s">
        <v>851</v>
      </c>
      <c r="H34" s="49" t="str">
        <f aca="false">IF(F34&lt;&gt;"","Bebedero "&amp;F34&amp;": "&amp;INDEX(Tabla_bebederos,MATCH(F34,INDEX(Tabla_bebederos,0,1),0),7),IF(LEFT(Banda_baja,2)="Sí","Falta bebedero: la banda queda bajo el agua y puede recibirlo",IF(LEFT(Banda_baja,8)="Marginal","Marginal: la banda queda casi a nivel del agua","No: la banda queda por encima del agua")))</f>
        <v>Bebedero B2: Sí, con 7.7 m de carga</v>
      </c>
    </row>
    <row r="35" customFormat="false" ht="15" hidden="false" customHeight="false" outlineLevel="0" collapsed="false">
      <c r="C35" s="67" t="s">
        <v>1019</v>
      </c>
      <c r="D35" s="25" t="s">
        <v>1017</v>
      </c>
      <c r="E35" s="25" t="n">
        <v>3</v>
      </c>
      <c r="F35" s="25" t="s">
        <v>853</v>
      </c>
      <c r="H35" s="49" t="str">
        <f aca="false">IF(F35&lt;&gt;"","Bebedero "&amp;F35&amp;": "&amp;INDEX(Tabla_bebederos,MATCH(F35,INDEX(Tabla_bebederos,0,1),0),7),IF(LEFT(Banda_baja,2)="Sí","Falta bebedero: la banda queda bajo el agua y puede recibirlo",IF(LEFT(Banda_baja,8)="Marginal","Marginal: la banda queda casi a nivel del agua","No: la banda queda por encima del agua")))</f>
        <v>Bebedero B3: Sí, con 8.7 m de carga</v>
      </c>
    </row>
    <row r="36" customFormat="false" ht="15" hidden="false" customHeight="false" outlineLevel="0" collapsed="false">
      <c r="C36" s="67" t="s">
        <v>1020</v>
      </c>
      <c r="D36" s="25" t="s">
        <v>1017</v>
      </c>
      <c r="E36" s="25" t="n">
        <v>4</v>
      </c>
      <c r="F36" s="25" t="s">
        <v>855</v>
      </c>
      <c r="H36" s="49" t="str">
        <f aca="false">IF(F36&lt;&gt;"","Bebedero "&amp;F36&amp;": "&amp;INDEX(Tabla_bebederos,MATCH(F36,INDEX(Tabla_bebederos,0,1),0),7),IF(LEFT(Banda_baja,2)="Sí","Falta bebedero: la banda queda bajo el agua y puede recibirlo",IF(LEFT(Banda_baja,8)="Marginal","Marginal: la banda queda casi a nivel del agua","No: la banda queda por encima del agua")))</f>
        <v>Bebedero B4: Sí, con 1.7 m de carga</v>
      </c>
    </row>
    <row r="37" customFormat="false" ht="15" hidden="false" customHeight="false" outlineLevel="0" collapsed="false">
      <c r="C37" s="67" t="s">
        <v>1021</v>
      </c>
      <c r="D37" s="25" t="s">
        <v>1022</v>
      </c>
      <c r="E37" s="25" t="n">
        <v>1</v>
      </c>
      <c r="F37" s="25" t="s">
        <v>849</v>
      </c>
      <c r="H37" s="49" t="str">
        <f aca="false">IF(F37&lt;&gt;"","Bebedero "&amp;F37&amp;": "&amp;INDEX(Tabla_bebederos,MATCH(F37,INDEX(Tabla_bebederos,0,1),0),7),IF(LEFT(Banda_media,2)="Sí","Falta bebedero: la banda queda bajo el agua y puede recibirlo",IF(LEFT(Banda_media,8)="Marginal","Marginal: la banda queda casi a nivel del agua","No: la banda queda por encima del agua")))</f>
        <v>Bebedero B1: No: queda 1.3 m por encima del agua</v>
      </c>
    </row>
    <row r="38" customFormat="false" ht="15" hidden="false" customHeight="false" outlineLevel="0" collapsed="false">
      <c r="C38" s="67" t="s">
        <v>1023</v>
      </c>
      <c r="D38" s="25" t="s">
        <v>1022</v>
      </c>
      <c r="E38" s="25" t="n">
        <v>2</v>
      </c>
      <c r="F38" s="25"/>
      <c r="H38" s="49" t="str">
        <f aca="false">IF(F38&lt;&gt;"","Bebedero "&amp;F38&amp;": "&amp;INDEX(Tabla_bebederos,MATCH(F38,INDEX(Tabla_bebederos,0,1),0),7),IF(LEFT(Banda_media,2)="Sí","Falta bebedero: la banda queda bajo el agua y puede recibirlo",IF(LEFT(Banda_media,8)="Marginal","Marginal: la banda queda casi a nivel del agua","No: la banda queda por encima del agua")))</f>
        <v>Marginal: la banda queda casi a nivel del agua</v>
      </c>
    </row>
    <row r="39" customFormat="false" ht="15" hidden="false" customHeight="false" outlineLevel="0" collapsed="false">
      <c r="C39" s="67" t="s">
        <v>1024</v>
      </c>
      <c r="D39" s="25" t="s">
        <v>1022</v>
      </c>
      <c r="E39" s="25" t="n">
        <v>3</v>
      </c>
      <c r="F39" s="25"/>
      <c r="H39" s="49" t="str">
        <f aca="false">IF(F39&lt;&gt;"","Bebedero "&amp;F39&amp;": "&amp;INDEX(Tabla_bebederos,MATCH(F39,INDEX(Tabla_bebederos,0,1),0),7),IF(LEFT(Banda_media,2)="Sí","Falta bebedero: la banda queda bajo el agua y puede recibirlo",IF(LEFT(Banda_media,8)="Marginal","Marginal: la banda queda casi a nivel del agua","No: la banda queda por encima del agua")))</f>
        <v>Marginal: la banda queda casi a nivel del agua</v>
      </c>
    </row>
    <row r="40" customFormat="false" ht="15" hidden="false" customHeight="false" outlineLevel="0" collapsed="false">
      <c r="C40" s="67" t="s">
        <v>1025</v>
      </c>
      <c r="D40" s="25" t="s">
        <v>1022</v>
      </c>
      <c r="E40" s="25" t="n">
        <v>4</v>
      </c>
      <c r="F40" s="25"/>
      <c r="H40" s="49" t="str">
        <f aca="false">IF(F40&lt;&gt;"","Bebedero "&amp;F40&amp;": "&amp;INDEX(Tabla_bebederos,MATCH(F40,INDEX(Tabla_bebederos,0,1),0),7),IF(LEFT(Banda_media,2)="Sí","Falta bebedero: la banda queda bajo el agua y puede recibirlo",IF(LEFT(Banda_media,8)="Marginal","Marginal: la banda queda casi a nivel del agua","No: la banda queda por encima del agua")))</f>
        <v>Marginal: la banda queda casi a nivel del agua</v>
      </c>
    </row>
    <row r="41" customFormat="false" ht="15" hidden="false" customHeight="false" outlineLevel="0" collapsed="false">
      <c r="C41" s="67" t="s">
        <v>1026</v>
      </c>
      <c r="D41" s="25" t="s">
        <v>1027</v>
      </c>
      <c r="E41" s="25" t="n">
        <v>1</v>
      </c>
      <c r="F41" s="25"/>
      <c r="H41" s="49" t="str">
        <f aca="false">IF(F41&lt;&gt;"","Bebedero "&amp;F41&amp;": "&amp;INDEX(Tabla_bebederos,MATCH(F41,INDEX(Tabla_bebederos,0,1),0),7),IF(LEFT(Banda_alta,2)="Sí","Falta bebedero: la banda queda bajo el agua y puede recibirlo",IF(LEFT(Banda_alta,8)="Marginal","Marginal: la banda queda casi a nivel del agua","No: la banda queda por encima del agua")))</f>
        <v>No: la banda queda por encima del agua</v>
      </c>
    </row>
    <row r="42" customFormat="false" ht="15" hidden="false" customHeight="false" outlineLevel="0" collapsed="false">
      <c r="C42" s="67" t="s">
        <v>1028</v>
      </c>
      <c r="D42" s="25" t="s">
        <v>1027</v>
      </c>
      <c r="E42" s="25" t="n">
        <v>2</v>
      </c>
      <c r="F42" s="25"/>
      <c r="H42" s="49" t="str">
        <f aca="false">IF(F42&lt;&gt;"","Bebedero "&amp;F42&amp;": "&amp;INDEX(Tabla_bebederos,MATCH(F42,INDEX(Tabla_bebederos,0,1),0),7),IF(LEFT(Banda_alta,2)="Sí","Falta bebedero: la banda queda bajo el agua y puede recibirlo",IF(LEFT(Banda_alta,8)="Marginal","Marginal: la banda queda casi a nivel del agua","No: la banda queda por encima del agua")))</f>
        <v>No: la banda queda por encima del agua</v>
      </c>
    </row>
    <row r="43" customFormat="false" ht="15" hidden="false" customHeight="false" outlineLevel="0" collapsed="false">
      <c r="C43" s="67" t="s">
        <v>1029</v>
      </c>
      <c r="D43" s="25" t="s">
        <v>1027</v>
      </c>
      <c r="E43" s="25" t="n">
        <v>3</v>
      </c>
      <c r="F43" s="25"/>
      <c r="H43" s="49" t="str">
        <f aca="false">IF(F43&lt;&gt;"","Bebedero "&amp;F43&amp;": "&amp;INDEX(Tabla_bebederos,MATCH(F43,INDEX(Tabla_bebederos,0,1),0),7),IF(LEFT(Banda_alta,2)="Sí","Falta bebedero: la banda queda bajo el agua y puede recibirlo",IF(LEFT(Banda_alta,8)="Marginal","Marginal: la banda queda casi a nivel del agua","No: la banda queda por encima del agua")))</f>
        <v>No: la banda queda por encima del agua</v>
      </c>
    </row>
    <row r="44" customFormat="false" ht="15" hidden="false" customHeight="false" outlineLevel="0" collapsed="false">
      <c r="C44" s="67" t="s">
        <v>1030</v>
      </c>
      <c r="D44" s="25" t="s">
        <v>1027</v>
      </c>
      <c r="E44" s="25" t="n">
        <v>4</v>
      </c>
      <c r="F44" s="25"/>
      <c r="H44" s="49" t="str">
        <f aca="false">IF(F44&lt;&gt;"","Bebedero "&amp;F44&amp;": "&amp;INDEX(Tabla_bebederos,MATCH(F44,INDEX(Tabla_bebederos,0,1),0),7),IF(LEFT(Banda_alta,2)="Sí","Falta bebedero: la banda queda bajo el agua y puede recibirlo",IF(LEFT(Banda_alta,8)="Marginal","Marginal: la banda queda casi a nivel del agua","No: la banda queda por encima del agua")))</f>
        <v>No: la banda queda por encima del agua</v>
      </c>
    </row>
    <row r="46" customFormat="false" ht="15" hidden="false" customHeight="false" outlineLevel="0" collapsed="false">
      <c r="B46" s="2" t="s">
        <v>1031</v>
      </c>
    </row>
  </sheetData>
  <conditionalFormatting sqref="H27:H29">
    <cfRule type="expression" priority="2" aboveAverage="0" equalAverage="0" bottom="0" percent="0" rank="0" text="" dxfId="0">
      <formula>OR(LEFT(H27,2)="Sí",LEFT(H27,8)="Coincide",LEFT(H27,6)="Cumple")</formula>
    </cfRule>
    <cfRule type="expression" priority="3" aboveAverage="0" equalAverage="0" bottom="0" percent="0" rank="0" text="" dxfId="1">
      <formula>OR(LEFT(H27,2)="No",LEFT(H27,7)="Revisar")</formula>
    </cfRule>
    <cfRule type="expression" priority="4" aboveAverage="0" equalAverage="0" bottom="0" percent="0" rank="0" text="" dxfId="2">
      <formula>OR(LEFT(H27,8)="Marginal",LEFT(H27,10)="Carga baja")</formula>
    </cfRule>
  </conditionalFormatting>
  <conditionalFormatting sqref="H33:H44">
    <cfRule type="expression" priority="5" aboveAverage="0" equalAverage="0" bottom="0" percent="0" rank="0" text="" dxfId="0">
      <formula>OR(LEFT(H33,2)="Sí",LEFT(H33,8)="Coincide",LEFT(H33,6)="Cumple")</formula>
    </cfRule>
    <cfRule type="expression" priority="6" aboveAverage="0" equalAverage="0" bottom="0" percent="0" rank="0" text="" dxfId="1">
      <formula>OR(LEFT(H33,2)="No",LEFT(H33,7)="Revisar")</formula>
    </cfRule>
    <cfRule type="expression" priority="7" aboveAverage="0" equalAverage="0" bottom="0" percent="0" rank="0" text="" dxfId="2">
      <formula>OR(LEFT(H33,8)="Marginal",LEFT(H33,10)="Carga baja")</formula>
    </cfRule>
    <cfRule type="expression" priority="8" aboveAverage="0" equalAverage="0" bottom="0" percent="0" rank="0" text="" dxfId="0">
      <formula>ISNUMBER(SEARCH(": Sí",H33))</formula>
    </cfRule>
    <cfRule type="expression" priority="9" aboveAverage="0" equalAverage="0" bottom="0" percent="0" rank="0" text="" dxfId="1">
      <formula>ISNUMBER(SEARCH(": No",H33))</formula>
    </cfRule>
    <cfRule type="expression" priority="10" aboveAverage="0" equalAverage="0" bottom="0" percent="0" rank="0" text="" dxfId="2">
      <formula>OR(ISNUMBER(SEARCH(": Carga baja",H33)),LEFT(H33,5)="Falta")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342B"/>
    <pageSetUpPr fitToPage="true"/>
  </sheetPr>
  <dimension ref="B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46"/>
    <col collapsed="false" customWidth="true" hidden="false" outlineLevel="0" max="5" min="4" style="0" width="14"/>
    <col collapsed="false" customWidth="true" hidden="false" outlineLevel="0" max="6" min="6" style="0" width="12"/>
    <col collapsed="false" customWidth="true" hidden="false" outlineLevel="0" max="7" min="7" style="0" width="16"/>
    <col collapsed="false" customWidth="true" hidden="false" outlineLevel="0" max="8" min="8" style="0" width="70"/>
  </cols>
  <sheetData>
    <row r="2" customFormat="false" ht="18.55" hidden="false" customHeight="false" outlineLevel="0" collapsed="false">
      <c r="B2" s="23" t="s">
        <v>1032</v>
      </c>
    </row>
    <row r="3" customFormat="false" ht="15" hidden="false" customHeight="false" outlineLevel="0" collapsed="false">
      <c r="B3" s="2" t="s">
        <v>1033</v>
      </c>
    </row>
    <row r="5" customFormat="false" ht="15" hidden="false" customHeight="false" outlineLevel="0" collapsed="false">
      <c r="B5" s="4" t="s">
        <v>1034</v>
      </c>
      <c r="C5" s="5"/>
      <c r="D5" s="5"/>
      <c r="E5" s="5"/>
      <c r="F5" s="5"/>
      <c r="G5" s="5"/>
      <c r="H5" s="5"/>
    </row>
    <row r="6" customFormat="false" ht="15" hidden="false" customHeight="false" outlineLevel="0" collapsed="false">
      <c r="B6" s="16" t="s">
        <v>1035</v>
      </c>
      <c r="C6" s="16" t="s">
        <v>1036</v>
      </c>
      <c r="D6" s="16" t="s">
        <v>1037</v>
      </c>
      <c r="E6" s="16" t="s">
        <v>1038</v>
      </c>
      <c r="F6" s="16" t="s">
        <v>1039</v>
      </c>
      <c r="G6" s="16" t="s">
        <v>1040</v>
      </c>
      <c r="H6" s="16" t="s">
        <v>1041</v>
      </c>
    </row>
    <row r="7" customFormat="false" ht="15" hidden="false" customHeight="false" outlineLevel="0" collapsed="false">
      <c r="B7" s="25" t="n">
        <v>1</v>
      </c>
      <c r="C7" s="19" t="s">
        <v>1042</v>
      </c>
      <c r="D7" s="69" t="n">
        <v>7600</v>
      </c>
      <c r="E7" s="45" t="n">
        <f aca="false">Vpri_occ</f>
        <v>7646.05677333392</v>
      </c>
      <c r="F7" s="39" t="n">
        <f aca="false">(E7-D7)/D7</f>
        <v>0.00606010175446296</v>
      </c>
      <c r="G7" s="49" t="str">
        <f aca="false">IF(ABS(F7)&lt;=Tolerancia,"Coincide","Revisar")</f>
        <v>Coincide</v>
      </c>
      <c r="H7" s="19" t="s">
        <v>1043</v>
      </c>
    </row>
    <row r="8" customFormat="false" ht="15" hidden="false" customHeight="false" outlineLevel="0" collapsed="false">
      <c r="B8" s="25" t="n">
        <v>2</v>
      </c>
      <c r="C8" s="19" t="s">
        <v>1044</v>
      </c>
      <c r="D8" s="69" t="n">
        <v>8000</v>
      </c>
      <c r="E8" s="45" t="n">
        <f aca="false">Vpri_ori</f>
        <v>8043.53504895619</v>
      </c>
      <c r="F8" s="39" t="n">
        <f aca="false">(E8-D8)/D8</f>
        <v>0.00544188111952371</v>
      </c>
      <c r="G8" s="49" t="str">
        <f aca="false">IF(ABS(F8)&lt;=Tolerancia,"Coincide","Revisar")</f>
        <v>Coincide</v>
      </c>
      <c r="H8" s="19" t="s">
        <v>1043</v>
      </c>
    </row>
    <row r="9" customFormat="false" ht="15" hidden="false" customHeight="false" outlineLevel="0" collapsed="false">
      <c r="B9" s="25" t="n">
        <v>3</v>
      </c>
      <c r="C9" s="19" t="s">
        <v>1045</v>
      </c>
      <c r="D9" s="69" t="n">
        <v>3400</v>
      </c>
      <c r="E9" s="45" t="n">
        <f aca="false">Evap_occ</f>
        <v>3420</v>
      </c>
      <c r="F9" s="39" t="n">
        <f aca="false">(E9-D9)/D9</f>
        <v>0.00588235294117647</v>
      </c>
      <c r="G9" s="49" t="str">
        <f aca="false">IF(ABS(F9)&lt;=Tolerancia,"Coincide","Revisar")</f>
        <v>Coincide</v>
      </c>
      <c r="H9" s="19" t="s">
        <v>1046</v>
      </c>
    </row>
    <row r="10" customFormat="false" ht="15" hidden="false" customHeight="false" outlineLevel="0" collapsed="false">
      <c r="B10" s="25" t="n">
        <v>4</v>
      </c>
      <c r="C10" s="19" t="s">
        <v>1047</v>
      </c>
      <c r="D10" s="69" t="n">
        <v>240</v>
      </c>
      <c r="E10" s="45" t="n">
        <f aca="false">Cons_ver</f>
        <v>240</v>
      </c>
      <c r="F10" s="39" t="n">
        <f aca="false">(E10-D10)/D10</f>
        <v>0</v>
      </c>
      <c r="G10" s="49" t="str">
        <f aca="false">IF(ABS(F10)&lt;=Tolerancia,"Coincide","Revisar")</f>
        <v>Coincide</v>
      </c>
      <c r="H10" s="19" t="s">
        <v>1048</v>
      </c>
    </row>
    <row r="11" customFormat="false" ht="43.5" hidden="false" customHeight="true" outlineLevel="0" collapsed="false">
      <c r="B11" s="25" t="n">
        <v>5</v>
      </c>
      <c r="C11" s="19" t="s">
        <v>1049</v>
      </c>
      <c r="D11" s="69" t="n">
        <v>4400</v>
      </c>
      <c r="E11" s="45" t="n">
        <f aca="false">Perd_occ</f>
        <v>4104</v>
      </c>
      <c r="F11" s="39" t="n">
        <f aca="false">(E11-D11)/D11</f>
        <v>-0.0672727272727273</v>
      </c>
      <c r="G11" s="49" t="str">
        <f aca="false">IF(ABS(F11)&lt;=Tolerancia,"Coincide","Revisar")</f>
        <v>Revisar</v>
      </c>
      <c r="H11" s="19" t="str">
        <f aca="false">IF(ABS(E11/D11-1)&gt;Tolerancia,"Con 1 mm/día de infiltración (ejercicio 6) da "&amp;FIXED(Perd_occ,0)&amp;" m³; sumando el consumo, "&amp;FIXED(Dem_occ,0)&amp;" m³. Revise qué tasa de infiltración se usó en la nota: con 1,5 mm/día daría "&amp;FIXED(Evap_occ+Espejo_occ*1.5*Dias_verano/1000,0)&amp;" m³.","Coincide con el ejercicio 6.")</f>
        <v>Con 1 mm/día de infiltración (ejercicio 6) da 4,104 m³; sumando el consumo, 4,344 m³. Revise qué tasa de infiltración se usó en la nota: con 1,5 mm/día daría 4,446 m³.</v>
      </c>
    </row>
    <row r="12" customFormat="false" ht="15" hidden="false" customHeight="false" outlineLevel="0" collapsed="false">
      <c r="B12" s="25" t="n">
        <v>6</v>
      </c>
      <c r="C12" s="19" t="s">
        <v>710</v>
      </c>
      <c r="D12" s="69" t="n">
        <v>220</v>
      </c>
      <c r="E12" s="45" t="n">
        <f aca="false">Lmed_occ</f>
        <v>215.062379594322</v>
      </c>
      <c r="F12" s="39" t="n">
        <f aca="false">(E12-D12)/D12</f>
        <v>-0.0224437291167181</v>
      </c>
      <c r="G12" s="49" t="str">
        <f aca="false">IF(ABS(F12)&lt;=Tolerancia,"Coincide","Revisar")</f>
        <v>Coincide</v>
      </c>
      <c r="H12" s="19" t="s">
        <v>1050</v>
      </c>
    </row>
    <row r="13" customFormat="false" ht="15" hidden="false" customHeight="false" outlineLevel="0" collapsed="false">
      <c r="B13" s="25" t="n">
        <v>7</v>
      </c>
      <c r="C13" s="19" t="s">
        <v>1051</v>
      </c>
      <c r="D13" s="69" t="n">
        <v>180</v>
      </c>
      <c r="E13" s="45" t="n">
        <f aca="false">Lmed_ori</f>
        <v>181.860636245561</v>
      </c>
      <c r="F13" s="39" t="n">
        <f aca="false">(E13-D13)/D13</f>
        <v>0.0103368680308936</v>
      </c>
      <c r="G13" s="49" t="str">
        <f aca="false">IF(ABS(F13)&lt;=Tolerancia,"Coincide","Revisar")</f>
        <v>Coincide</v>
      </c>
      <c r="H13" s="19" t="s">
        <v>1050</v>
      </c>
    </row>
    <row r="14" customFormat="false" ht="43.5" hidden="false" customHeight="true" outlineLevel="0" collapsed="false">
      <c r="B14" s="25" t="n">
        <v>8</v>
      </c>
      <c r="C14" s="19" t="s">
        <v>1052</v>
      </c>
      <c r="D14" s="70" t="n">
        <v>3.4</v>
      </c>
      <c r="E14" s="33" t="n">
        <f aca="false">Carga_casa</f>
        <v>3.69999999999999</v>
      </c>
      <c r="F14" s="39" t="n">
        <f aca="false">(E14-D14)/D14</f>
        <v>0.0882352941176438</v>
      </c>
      <c r="G14" s="49" t="str">
        <f aca="false">IF(ABS(F14)&lt;=Tolerancia,"Coincide","Revisar")</f>
        <v>Revisar</v>
      </c>
      <c r="H14" s="19" t="str">
        <f aca="false">IF(ABS(E14/D14-1)&gt;Tolerancia,"Con el agua en la línea clave oriental ("&amp;FIXED(PK_ori,1)&amp;" m) y la casa a "&amp;FIXED(Cota_casa,0)&amp;" m da "&amp;FIXED(Carga_casa,1)&amp;" m. Si la nota usó otro nivel de agua (por ejemplo el vertedero 0,3 m más abajo), conviene decirlo en la diapositiva.","Coincide.")</f>
        <v>Con el agua en la línea clave oriental (386.7 m) y la casa a 383 m da 3.7 m. Si la nota usó otro nivel de agua (por ejemplo el vertedero 0,3 m más abajo), conviene decirlo en la diapositiva.</v>
      </c>
    </row>
    <row r="15" customFormat="false" ht="15" hidden="false" customHeight="false" outlineLevel="0" collapsed="false">
      <c r="B15" s="25" t="n">
        <v>9</v>
      </c>
      <c r="C15" s="19" t="s">
        <v>1053</v>
      </c>
      <c r="D15" s="31" t="n">
        <v>1.8</v>
      </c>
      <c r="E15" s="59" t="n">
        <f aca="false">Area_cacao</f>
        <v>1.76703125</v>
      </c>
      <c r="F15" s="39" t="n">
        <f aca="false">(E15-D15)/D15</f>
        <v>-0.0183159722222222</v>
      </c>
      <c r="G15" s="49" t="str">
        <f aca="false">IF(ABS(F15)&lt;=Tolerancia,"Coincide","Revisar")</f>
        <v>Coincide</v>
      </c>
      <c r="H15" s="19" t="s">
        <v>1054</v>
      </c>
    </row>
    <row r="16" customFormat="false" ht="28.5" hidden="false" customHeight="true" outlineLevel="0" collapsed="false">
      <c r="B16" s="25" t="n">
        <v>10</v>
      </c>
      <c r="C16" s="19" t="s">
        <v>1055</v>
      </c>
      <c r="D16" s="70" t="n">
        <v>35</v>
      </c>
      <c r="E16" s="33" t="n">
        <f aca="false">Area_plano</f>
        <v>34.000859375</v>
      </c>
      <c r="F16" s="39" t="n">
        <f aca="false">(E16-D16)/D16</f>
        <v>-0.0285468750000001</v>
      </c>
      <c r="G16" s="49" t="str">
        <f aca="false">IF(ABS(F16)&lt;=Tolerancia,"Coincide","Revisar")</f>
        <v>Coincide</v>
      </c>
      <c r="H16" s="19" t="s">
        <v>1056</v>
      </c>
    </row>
    <row r="17" customFormat="false" ht="15" hidden="false" customHeight="false" outlineLevel="0" collapsed="false">
      <c r="B17" s="2" t="str">
        <f aca="false">"Tolerancia: "&amp;FIXED(Tolerancia*100,0)&amp;" % (hoja 1). La columna «Diapositiva» trae las cifras tal como aparecen en la diap. 44 y en las notas de la diap. 47."</f>
        <v>Tolerancia: 5 % (hoja 1). La columna «Diapositiva» trae las cifras tal como aparecen en la diap. 44 y en las notas de la diap. 47.</v>
      </c>
    </row>
    <row r="19" customFormat="false" ht="15" hidden="false" customHeight="false" outlineLevel="0" collapsed="false">
      <c r="B19" s="4" t="s">
        <v>1057</v>
      </c>
      <c r="C19" s="5"/>
      <c r="D19" s="5"/>
      <c r="E19" s="5"/>
      <c r="F19" s="5"/>
      <c r="G19" s="5"/>
      <c r="H19" s="5"/>
    </row>
    <row r="20" customFormat="false" ht="15" hidden="false" customHeight="true" outlineLevel="0" collapsed="false">
      <c r="B20" s="16" t="s">
        <v>1035</v>
      </c>
      <c r="C20" s="16" t="s">
        <v>1058</v>
      </c>
      <c r="D20" s="16" t="s">
        <v>1059</v>
      </c>
      <c r="E20" s="16"/>
      <c r="F20" s="16"/>
      <c r="G20" s="16"/>
      <c r="H20" s="16"/>
    </row>
    <row r="21" customFormat="false" ht="48" hidden="false" customHeight="true" outlineLevel="0" collapsed="false">
      <c r="B21" s="25" t="n">
        <v>1</v>
      </c>
      <c r="C21" s="71" t="s">
        <v>1060</v>
      </c>
      <c r="D21" s="21" t="str">
        <f aca="false">"Occidental: "&amp;FIXED(Vmod_occ,0)&amp;" m³; evapora "&amp;FIXED(Evap_occ,0)&amp;" m³ ("&amp;FIXED(Evap_occ/Vmod_occ*100,0)&amp;" %). Oriental: "&amp;FIXED(Vmod_ori,0)&amp;" m³; evapora "&amp;FIXED(Evap_ori,0)&amp;" m³ ("&amp;FIXED(Evap_ori/Vmod_ori*100,0)&amp;" %). Las dos alcanzan: demanda del verano "&amp;FIXED(Dem_occ,0)&amp;" m³."</f>
        <v>Occidental: 7,600 m³; evapora 3,420 m³ (45 %). Oriental: 8,000 m³; evapora 3,420 m³ (43 %). Las dos alcanzan: demanda del verano 4,344 m³.</v>
      </c>
      <c r="E21" s="21"/>
      <c r="F21" s="21"/>
      <c r="G21" s="21"/>
      <c r="H21" s="21"/>
    </row>
    <row r="22" customFormat="false" ht="48" hidden="false" customHeight="true" outlineLevel="0" collapsed="false">
      <c r="B22" s="25" t="n">
        <v>2</v>
      </c>
      <c r="C22" s="71" t="s">
        <v>1061</v>
      </c>
      <c r="D22" s="21" t="str">
        <f aca="false">"Occidental a "&amp;FIXED(PK_occ,1)&amp;" m: rebosa al canal de "&amp;FIXED(Lcan_ori,0)&amp;" m a 1:300, que llega a "&amp;FIXED(Llegada_ori,2)&amp;" m, "&amp;FIXED(Margen_ori,2)&amp;" m por encima del agua de la oriental. Oriental a "&amp;FIXED(PK_ori,1)&amp;" m: rebosa al cauce, hacia el caño."</f>
        <v>Occidental a 387.7 m: rebosa al canal de 180 m a 1:300, que llega a 387.10 m, 0.40 m por encima del agua de la oriental. Oriental a 386.7 m: rebosa al cauce, hacia el caño.</v>
      </c>
      <c r="E22" s="21"/>
      <c r="F22" s="21"/>
      <c r="G22" s="21"/>
      <c r="H22" s="21"/>
    </row>
    <row r="23" customFormat="false" ht="48" hidden="false" customHeight="true" outlineLevel="0" collapsed="false">
      <c r="B23" s="25" t="n">
        <v>3</v>
      </c>
      <c r="C23" s="71" t="s">
        <v>1062</v>
      </c>
      <c r="D23" s="21" t="s">
        <v>1063</v>
      </c>
      <c r="E23" s="21"/>
      <c r="F23" s="21"/>
      <c r="G23" s="21"/>
      <c r="H23" s="21"/>
    </row>
    <row r="24" customFormat="false" ht="48" hidden="false" customHeight="true" outlineLevel="0" collapsed="false">
      <c r="B24" s="25" t="n">
        <v>4</v>
      </c>
      <c r="C24" s="71" t="s">
        <v>1064</v>
      </c>
      <c r="D24" s="21" t="str">
        <f aca="false">"Cada "&amp;FIXED(Int_franjas,0)&amp;" m: la primera en la línea clave ("&amp;FIXED(PK_occ,1)&amp;" y "&amp;FIXED(PK_ori,1)&amp;" m) y la segunda a "&amp;FIXED(Franja2_occ,1)&amp;" y "&amp;FIXED(Franja2_ori,1)&amp;" m. En el lomo central quedan a unos "&amp;FIXED(D_franjas,0)&amp;" m en planta."</f>
        <v>Cada 12 m: la primera en la línea clave (387.7 y 386.7 m) y la segunda a 399.7 y 398.7 m. En el lomo central quedan a unos 106 m en planta.</v>
      </c>
      <c r="E24" s="21"/>
      <c r="F24" s="21"/>
      <c r="G24" s="21"/>
      <c r="H24" s="21"/>
    </row>
    <row r="25" customFormat="false" ht="48" hidden="false" customHeight="true" outlineLevel="0" collapsed="false">
      <c r="B25" s="25" t="n">
        <v>5</v>
      </c>
      <c r="C25" s="71" t="s">
        <v>1065</v>
      </c>
      <c r="D25" s="21" t="str">
        <f aca="false">"Sí: "&amp;FIXED(Carga_casa,1)&amp;" m por debajo del agua de la oriental con la represa llena y "&amp;FIXED(Nivel_fin_ori-Cota_casa,1)&amp;" m al final del verano."</f>
        <v>Sí: 3.7 m por debajo del agua de la oriental con la represa llena y 2.9 m al final del verano.</v>
      </c>
      <c r="E25" s="21"/>
      <c r="F25" s="21"/>
      <c r="G25" s="21"/>
      <c r="H25" s="21"/>
    </row>
    <row r="26" customFormat="false" ht="48" hidden="false" customHeight="true" outlineLevel="0" collapsed="false">
      <c r="B26" s="25" t="n">
        <v>6</v>
      </c>
      <c r="C26" s="71" t="s">
        <v>1066</v>
      </c>
      <c r="D26" s="21" t="str">
        <f aca="false">"Banda baja (P1 a P4): "&amp;Banda_baja&amp;". Banda media (P5 a P8): "&amp;Banda_media&amp;". Banda alta (P9 a P12): "&amp;Banda_alta&amp;". En el plano, B1 (P5): "&amp;Estado_B1&amp;"."</f>
        <v>Banda baja (P1 a P4): Sí: toda la banda queda bajo el agua de las represas. Banda media (P5 a P8): Marginal: solo el borde bajo, con 1.0 m de carga. Banda alta (P9 a P12): No: toda la banda queda por encima del agua. En el plano, B1 (P5): No: queda 1.3 m por encima del agua.</v>
      </c>
      <c r="E26" s="21"/>
      <c r="F26" s="21"/>
      <c r="G26" s="21"/>
      <c r="H26" s="21"/>
    </row>
  </sheetData>
  <mergeCells count="7">
    <mergeCell ref="D20:H20"/>
    <mergeCell ref="D21:H21"/>
    <mergeCell ref="D22:H22"/>
    <mergeCell ref="D23:H23"/>
    <mergeCell ref="D24:H24"/>
    <mergeCell ref="D25:H25"/>
    <mergeCell ref="D26:H26"/>
  </mergeCells>
  <conditionalFormatting sqref="G7:G16">
    <cfRule type="expression" priority="2" aboveAverage="0" equalAverage="0" bottom="0" percent="0" rank="0" text="" dxfId="0">
      <formula>OR(LEFT(G7,2)="Sí",LEFT(G7,8)="Coincide",LEFT(G7,6)="Cumple")</formula>
    </cfRule>
    <cfRule type="expression" priority="3" aboveAverage="0" equalAverage="0" bottom="0" percent="0" rank="0" text="" dxfId="1">
      <formula>OR(LEFT(G7,2)="No",LEFT(G7,7)="Revisar")</formula>
    </cfRule>
    <cfRule type="expression" priority="4" aboveAverage="0" equalAverage="0" bottom="0" percent="0" rank="0" text="" dxfId="2">
      <formula>OR(LEFT(G7,8)="Marginal",LEFT(G7,10)="Carga baja")</formula>
    </cfRule>
  </conditionalFormatting>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2026-10-21T16:51:48Z</dcterms:created>
  <dc:creator>openpyxl</dc:creator>
  <dc:description/>
  <dc:language>en-US</dc:language>
  <cp:lastModifiedBy/>
  <dcterms:modified xsi:type="dcterms:W3CDTF">2026-10-21T11:51:52Z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